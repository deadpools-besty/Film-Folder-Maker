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2c94f48f51ebd665/Programming/film logger/"/>
    </mc:Choice>
  </mc:AlternateContent>
  <xr:revisionPtr revIDLastSave="5835" documentId="8_{6C71A5C7-EA07-438F-A432-3CCCB5A3E914}" xr6:coauthVersionLast="47" xr6:coauthVersionMax="47" xr10:uidLastSave="{A57D6DCE-7225-43AB-8E7D-AF238A577B17}"/>
  <bookViews>
    <workbookView xWindow="780" yWindow="780" windowWidth="19050" windowHeight="20505" activeTab="1" xr2:uid="{847F60B8-35AC-473F-AA31-E702C605CDF1}"/>
  </bookViews>
  <sheets>
    <sheet name="Sheet2" sheetId="6" r:id="rId1"/>
    <sheet name="Film Rolls" sheetId="1" r:id="rId2"/>
    <sheet name="Cameras" sheetId="2" r:id="rId3"/>
  </sheets>
  <calcPr calcId="191028"/>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<sst xmlns="http://schemas.openxmlformats.org/spreadsheetml/2006/main" count="399" uniqueCount="193">
  <si>
    <t>Load Date</t>
  </si>
  <si>
    <t>Unload Date</t>
  </si>
  <si>
    <t>Developed</t>
  </si>
  <si>
    <t>Scanned</t>
  </si>
  <si>
    <t>Develop Notes</t>
  </si>
  <si>
    <t>Scan Notes</t>
  </si>
  <si>
    <t>Film Stock</t>
  </si>
  <si>
    <t>Camera</t>
  </si>
  <si>
    <t>Lenses</t>
  </si>
  <si>
    <t>Date Purchased</t>
  </si>
  <si>
    <t>Date Received</t>
  </si>
  <si>
    <t>Date Sold</t>
  </si>
  <si>
    <t>Repair Notes</t>
  </si>
  <si>
    <t>Problems</t>
  </si>
  <si>
    <t>Film Brand</t>
  </si>
  <si>
    <t>Shot Notes</t>
  </si>
  <si>
    <t>Film Format</t>
  </si>
  <si>
    <t>Fujifilm</t>
  </si>
  <si>
    <t>Lab - McBain</t>
  </si>
  <si>
    <t>Nikon FE</t>
  </si>
  <si>
    <t>Item</t>
  </si>
  <si>
    <t>Push/Pull</t>
  </si>
  <si>
    <t>Kodak</t>
  </si>
  <si>
    <t>Gold 200</t>
  </si>
  <si>
    <t>Portra 400</t>
  </si>
  <si>
    <t>120 - 6x6</t>
  </si>
  <si>
    <t>Yashica Mat EM</t>
  </si>
  <si>
    <t>Built-in</t>
  </si>
  <si>
    <t>Ilford</t>
  </si>
  <si>
    <t>HP5+</t>
  </si>
  <si>
    <t>Canonet QL17 GIII</t>
  </si>
  <si>
    <t>Roll Rating</t>
  </si>
  <si>
    <t>FP4+</t>
  </si>
  <si>
    <t>Mamiya 645 Pro</t>
  </si>
  <si>
    <t>Cinestill</t>
  </si>
  <si>
    <t>800T</t>
  </si>
  <si>
    <t>Push - 1</t>
  </si>
  <si>
    <t>Delta 3200</t>
  </si>
  <si>
    <t>Nikon FG</t>
  </si>
  <si>
    <t>Fuji GA645</t>
  </si>
  <si>
    <t>Lab - Stratus Lab</t>
  </si>
  <si>
    <t>Self - Ilford DD-X</t>
  </si>
  <si>
    <t>FPP</t>
  </si>
  <si>
    <t>120 - 6x7</t>
  </si>
  <si>
    <t>Push - 2</t>
  </si>
  <si>
    <t>Bronica GS-1</t>
  </si>
  <si>
    <t>Yashica Mat 124G</t>
  </si>
  <si>
    <t>Count of Camera</t>
  </si>
  <si>
    <t>(blank)</t>
  </si>
  <si>
    <t>Flicfilm</t>
  </si>
  <si>
    <t>Yashica MAT EM</t>
  </si>
  <si>
    <t>Olympus AF-1 Super</t>
  </si>
  <si>
    <t>Yashica MAT 124G</t>
  </si>
  <si>
    <t>Ektachrome E100 SW</t>
  </si>
  <si>
    <t>Mamiya Sekor C 45mm f/2.8</t>
  </si>
  <si>
    <t>TMax 100</t>
  </si>
  <si>
    <t>4x5</t>
  </si>
  <si>
    <t>Graflex Super Graphic</t>
  </si>
  <si>
    <t xml:space="preserve">Schneider-Kreuznach Symmar-S 210mm f/5.6 </t>
  </si>
  <si>
    <t>Nikon F4</t>
  </si>
  <si>
    <t>Pentax 6x7</t>
  </si>
  <si>
    <t>Self - Epson V700</t>
  </si>
  <si>
    <t>Voigtlander Bessa II</t>
  </si>
  <si>
    <t>400D</t>
  </si>
  <si>
    <t>Pentax Super Multi Coated Takumar 105mm f/2.4</t>
  </si>
  <si>
    <t xml:space="preserve">Graflex Super Graphic </t>
  </si>
  <si>
    <t>Hasselblad 500CM</t>
  </si>
  <si>
    <t>NPS 160</t>
  </si>
  <si>
    <t>Rollei 35 LED</t>
  </si>
  <si>
    <t>220 - 6x7</t>
  </si>
  <si>
    <t>Self - Rodinal</t>
  </si>
  <si>
    <t>Harman</t>
  </si>
  <si>
    <t>Phoenix 200</t>
  </si>
  <si>
    <t xml:space="preserve">Olympus AF-1 Super </t>
  </si>
  <si>
    <t>Aurora 800</t>
  </si>
  <si>
    <t>Test roll</t>
  </si>
  <si>
    <t>Leica M6</t>
  </si>
  <si>
    <t>Self - DSLR Scan</t>
  </si>
  <si>
    <t>Canon 7</t>
  </si>
  <si>
    <t>Astia 100F</t>
  </si>
  <si>
    <t>Row Labels</t>
  </si>
  <si>
    <t>Grand Total</t>
  </si>
  <si>
    <t>Column Labels</t>
  </si>
  <si>
    <t>&lt;5/1/2019</t>
  </si>
  <si>
    <t>2019</t>
  </si>
  <si>
    <t>2022</t>
  </si>
  <si>
    <t>Self - Cinestill CS41 Kit</t>
  </si>
  <si>
    <t>2023</t>
  </si>
  <si>
    <t>2024</t>
  </si>
  <si>
    <t>Linhof Kardan E</t>
  </si>
  <si>
    <t>Voigtlander Ultron 28mm f/2</t>
  </si>
  <si>
    <t>Mamiya C33</t>
  </si>
  <si>
    <t>Canon LTM 50mm f/1.4 &amp; Voigtlander Ultron 28mm f/2</t>
  </si>
  <si>
    <t>Mamiya RB 67 Pro SD</t>
  </si>
  <si>
    <t>Self - FlicFilm C41 Kit</t>
  </si>
  <si>
    <t>Kentmere 400</t>
  </si>
  <si>
    <t>Gold 100</t>
  </si>
  <si>
    <t>Fujicolor 100</t>
  </si>
  <si>
    <t>Nikon F100</t>
  </si>
  <si>
    <t>INCOMPLETE</t>
  </si>
  <si>
    <t>Pentax PC35AF</t>
  </si>
  <si>
    <t>Street Savvy 400</t>
  </si>
  <si>
    <t>FlicFilm</t>
  </si>
  <si>
    <t>Nikon AF-D 50mm f/1.4</t>
  </si>
  <si>
    <t>2 sheets loaded in film holder d1/d2. Cole Bader outside TCS</t>
  </si>
  <si>
    <t>2 sheets loaded in C1/c2. Nova at studio vanessa</t>
  </si>
  <si>
    <t>Calgary trip snapshots</t>
  </si>
  <si>
    <t>Alyza at home studio</t>
  </si>
  <si>
    <t>Pentax 67</t>
  </si>
  <si>
    <t>it works</t>
  </si>
  <si>
    <t>Dev'd for 7 mins</t>
  </si>
  <si>
    <t>Schneider Xenar 135mm f/4.7</t>
  </si>
  <si>
    <t>Schneider Xenar 135mm f/4.7 &amp; Schneider 210mm f/5.6</t>
  </si>
  <si>
    <t>Home studio shoot with Victoria</t>
  </si>
  <si>
    <t>2 sheets in film holder b/no. Victoria in home studio</t>
  </si>
  <si>
    <t>X-Ray</t>
  </si>
  <si>
    <t>2 sheets in film holder c1/c2. Victoria in home studio</t>
  </si>
  <si>
    <t>Start with Taya shoot. Finished with snowy photos outside menya mori</t>
  </si>
  <si>
    <t>Developed 1+50 for 7 mins but underexposed or under developed.</t>
  </si>
  <si>
    <t>Developed 1+25 for 3.5 mins. A little overcooked and very contrasty</t>
  </si>
  <si>
    <t>Kiya and Teyen in whitemud park</t>
  </si>
  <si>
    <t>Started at Lunar New Year Banquet</t>
  </si>
  <si>
    <t>Absolutely beautiful</t>
  </si>
  <si>
    <t>Sebastian in home studio</t>
  </si>
  <si>
    <t>Lemon gang in workshop</t>
  </si>
  <si>
    <t>Developed for 7.5 mins. Flash didn't go off on some frames</t>
  </si>
  <si>
    <t>Vericolor HC</t>
  </si>
  <si>
    <t>2 sheets loaded b/no. Alex Marcu at home</t>
  </si>
  <si>
    <t>2 sheets loaded b4/nait. Alex Marcu at home</t>
  </si>
  <si>
    <t>2 sheets loaded c1/c2. Alex Marcu at home</t>
  </si>
  <si>
    <t>Steph in bathroom roll 1</t>
  </si>
  <si>
    <t>Steph in bathroom roll 2</t>
  </si>
  <si>
    <t>Colors and grain look solid. Just a little bit of fogging that can be cleared up easy enough</t>
  </si>
  <si>
    <t>2 sheets loaded in holder b/no. rated at iso 25 and 50. Shots of Seb in home studio</t>
  </si>
  <si>
    <t>we do be underexposing with flash</t>
  </si>
  <si>
    <t>Developed for 6 mins at 1+25</t>
  </si>
  <si>
    <t xml:space="preserve">Schneider Xenar 135mm f/4.7 </t>
  </si>
  <si>
    <t>Megan, home studio shoot</t>
  </si>
  <si>
    <t>kelowna trip</t>
  </si>
  <si>
    <t>Tessy downtown kelowna portrait shoot</t>
  </si>
  <si>
    <t>Shots around UBCO campus. Bulk loaded roll from Jacy</t>
  </si>
  <si>
    <t>Michaela at Calgary parkade</t>
  </si>
  <si>
    <t>Ektachrom E100</t>
  </si>
  <si>
    <t>Self - Cinestill CS6 Kit</t>
  </si>
  <si>
    <t>Fuck this kit. So annoying and complicated. Used the daylight chrome 1st developer 1+1 at ~40 for 6:30. 2nd dev for 6 and bliix for 8</t>
  </si>
  <si>
    <t>magenta cast on images, corrects out easily enough on some. Used the b&amp;w setting on light source for scanning</t>
  </si>
  <si>
    <t>Developed for 13 mins. Fixed for 5. looks good</t>
  </si>
  <si>
    <t>mixed 1+1, developed for 6 mins, color reveral for 6:30 and blix for 7 mins</t>
  </si>
  <si>
    <t>magenta tint on this roll too, but it did expire in the 90s</t>
  </si>
  <si>
    <t>Emma at Manchester Square</t>
  </si>
  <si>
    <t>Ektachrome E200</t>
  </si>
  <si>
    <t>strong red/magenta tint. Maybe stayed in dev for too long since ii did it for 7 mins</t>
  </si>
  <si>
    <t>Extremely magenta shifted. Either there's something in the tap water (did a long prebath) or I was running too hot</t>
  </si>
  <si>
    <t>this one looks normal</t>
  </si>
  <si>
    <t>Mamiya 6 KII</t>
  </si>
  <si>
    <t>2 sheets loaded in b/no. Kate in home studio. Same light setup, 1 at f/8 one at f/8</t>
  </si>
  <si>
    <t>Had some trouble getting the caps on. Still struggling with a lot of scratching on the film</t>
  </si>
  <si>
    <t>not my cleanest scans</t>
  </si>
  <si>
    <t>2 sheets loaded in b4/nait. Kate in home studio</t>
  </si>
  <si>
    <t>Developed for 3.5 mins. One extremely over exposed, the other extremely under</t>
  </si>
  <si>
    <t>Starts in calgary on trip back from kelowna. Got 19?? Shots out of this roll</t>
  </si>
  <si>
    <t>This was fresh ektachrome and still had a strong-ish blue cast</t>
  </si>
  <si>
    <t>1+1 daylight chrome for 6 mins</t>
  </si>
  <si>
    <t>Developed for 3.5 mins. One was probably a little underexposed</t>
  </si>
  <si>
    <t>2 sheets loaded in holder d1/d2. Seb in home studio</t>
  </si>
  <si>
    <t>it work</t>
  </si>
  <si>
    <t>Steph at luna n sol studio</t>
  </si>
  <si>
    <t>Need to align the rangefinder. It's still good tho</t>
  </si>
  <si>
    <t>Antonio shoot downtown. Shot at 1600</t>
  </si>
  <si>
    <t>Aurora 400</t>
  </si>
  <si>
    <t>EDC</t>
  </si>
  <si>
    <t>well that came out green as fuck</t>
  </si>
  <si>
    <t>didn't do shit with it</t>
  </si>
  <si>
    <t>Must've not loaded it correctly since I did only get 12, but the first photos I thought I took were not there</t>
  </si>
  <si>
    <t>Shoot at Muttart</t>
  </si>
  <si>
    <t>Dev'd for 6 mins @ 24C</t>
  </si>
  <si>
    <t>Grainy as shit and probably underdeveloped tbh. Won't try this combo again</t>
  </si>
  <si>
    <t>Looks normal</t>
  </si>
  <si>
    <t>shit was missing focus like a mf. Colors from this stock kinda hit tho</t>
  </si>
  <si>
    <t>Perfecto</t>
  </si>
  <si>
    <t>looks good</t>
  </si>
  <si>
    <t>seems like there's uneven exposure at fastest shutter speeds</t>
  </si>
  <si>
    <t>jk not quite. There's shutter capping at the fastest speeds</t>
  </si>
  <si>
    <t>Steph in milk bath</t>
  </si>
  <si>
    <t>Nait photowalk and steph in milk bath</t>
  </si>
  <si>
    <t xml:space="preserve">Steph gun roll 1 </t>
  </si>
  <si>
    <t>Steph gun roll 2</t>
  </si>
  <si>
    <t>135 - half frame</t>
  </si>
  <si>
    <t>Pentax 17</t>
  </si>
  <si>
    <t xml:space="preserve">Arden shoot w/ seb at redroom studios </t>
  </si>
  <si>
    <t>Developed for 4:40 density came out good</t>
  </si>
  <si>
    <t>yikes. Did a rinse in between. I think that's what's messing things up</t>
  </si>
  <si>
    <t>hella underexposed and grainy. Got some good ones tho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</si>
</sst>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F800]dddd\,\ mmmm\ dd\,\ yyyy"/>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164" fontId="0" fillId="0" borderId="0" xfId="0" applyNumberFormat="1" applyAlignment="1">
      <alignment wrapText="1"/>
    </xf>
    <xf numFmtId="0" fontId="0" fillId="0" borderId="0" xfId="0" pivotButton="1"/>
    <xf numFmtId="0" fontId="0" fillId="0" borderId="0" xfId="0" applyAlignment="1">
      <alignment horizontal="left"/>
    </xf>
    <xf numFmtId="165" fontId="0" fillId="0" borderId="0" xfId="0" applyNumberFormat="1" applyAlignment="1">
      <alignment wrapText="1"/>
    </xf>
  </cellXfs>
  <cellStyles count="1">
    <cellStyle name="Normal" xfId="0" builtinId="0"/>
  </cellStyles>
  <dxfs count="17">
    <dxf>
      <numFmt numFmtId="164" formatCode="[$-409]d\-mmm\-yyyy;@"/>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409]d\-mmm\-yyyy;@"/>
      <alignment horizontal="general" vertical="bottom" textRotation="0" wrapText="1" indent="0" justifyLastLine="0" shrinkToFit="0" readingOrder="0"/>
    </dxf>
    <dxf>
      <fill>
        <patternFill>
          <bgColor rgb="FF00B05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a Egyir Andoh" refreshedDate="45654.607796759257" createdVersion="8" refreshedVersion="8" minRefreshableVersion="3" recordCount="1001" xr:uid="{EC3B772F-A307-4AD3-A324-DD0F4C5C20BF}">
  <cacheSource type="worksheet">
    <worksheetSource name="Table2"/>
  </cacheSource>
  <cacheFields count="20">
    <cacheField name="Load Date" numFmtId="164">
      <sharedItems containsNonDate="0" containsDate="1" containsString="0" containsBlank="1" minDate="2019-05-01T00:00:00" maxDate="2024-12-18T00:00:00" count="265">
        <d v="2019-05-01T00:00:00"/>
        <d v="2022-06-09T00:00:00"/>
        <d v="2022-06-21T00:00:00"/>
        <d v="2022-06-25T00:00:00"/>
        <d v="2022-07-12T00:00:00"/>
        <d v="2022-07-14T00:00:00"/>
        <d v="2022-07-19T00:00:00"/>
        <d v="2022-07-23T00:00:00"/>
        <d v="2022-07-26T00:00:00"/>
        <d v="2022-07-30T00:00:00"/>
        <d v="2022-08-02T00:00:00"/>
        <d v="2022-08-06T00:00:00"/>
        <d v="2022-08-14T00:00:00"/>
        <d v="2022-08-19T00:00:00"/>
        <d v="2022-08-21T00:00:00"/>
        <d v="2022-08-25T00:00:00"/>
        <d v="2022-08-30T00:00:00"/>
        <d v="2022-09-03T00:00:00"/>
        <d v="2022-09-10T00:00:00"/>
        <d v="2022-09-12T00:00:00"/>
        <d v="2022-09-16T00:00:00"/>
        <d v="2022-09-27T00:00:00"/>
        <d v="2022-09-28T00:00:00"/>
        <d v="2022-10-09T00:00:00"/>
        <d v="2022-10-10T00:00:00"/>
        <d v="2022-10-13T00:00:00"/>
        <d v="2022-10-19T00:00:00"/>
        <d v="2022-10-20T00:00:00"/>
        <d v="2022-10-23T00:00:00"/>
        <d v="2022-10-27T00:00:00"/>
        <d v="2022-10-28T00:00:00"/>
        <d v="2022-10-29T00:00:00"/>
        <d v="2022-11-09T00:00:00"/>
        <d v="2022-11-10T00:00:00"/>
        <d v="2022-11-16T00:00:00"/>
        <d v="2022-11-17T00:00:00"/>
        <d v="2022-12-04T00:00:00"/>
        <d v="2022-12-09T00:00:00"/>
        <d v="2022-12-10T00:00:00"/>
        <d v="2022-12-16T00:00:00"/>
        <d v="2022-12-21T00:00:00"/>
        <d v="2022-12-28T00:00:00"/>
        <d v="2022-12-29T00:00:00"/>
        <d v="2023-01-03T00:00:00"/>
        <d v="2023-01-04T00:00:00"/>
        <d v="2023-01-06T00:00:00"/>
        <d v="2023-01-10T00:00:00"/>
        <d v="2023-01-11T00:00:00"/>
        <d v="2023-01-14T00:00:00"/>
        <d v="2023-01-20T00:00:00"/>
        <d v="2023-01-21T00:00:00"/>
        <d v="2023-01-22T00:00:00"/>
        <d v="2023-01-25T00:00:00"/>
        <d v="2023-01-26T00:00:00"/>
        <d v="2023-01-29T00:00:00"/>
        <d v="2023-01-31T00:00:00"/>
        <d v="2023-02-02T00:00:00"/>
        <d v="2023-02-08T00:00:00"/>
        <d v="2023-02-15T00:00:00"/>
        <d v="2023-02-16T00:00:00"/>
        <d v="2023-02-18T00:00:00"/>
        <d v="2023-02-19T00:00:00"/>
        <d v="2023-02-20T00:00:00"/>
        <d v="2023-03-01T00:00:00"/>
        <d v="2023-03-03T00:00:00"/>
        <d v="2023-03-06T00:00:00"/>
        <d v="2023-03-16T00:00:00"/>
        <d v="2023-03-19T00:00:00"/>
        <d v="2023-03-20T00:00:00"/>
        <d v="2023-03-29T00:00:00"/>
        <d v="2023-04-08T00:00:00"/>
        <d v="2023-04-09T00:00:00"/>
        <d v="2023-04-13T00:00:00"/>
        <d v="2023-04-15T00:00:00"/>
        <d v="2023-04-17T00:00:00"/>
        <d v="2023-04-20T00:00:00"/>
        <d v="2023-04-21T00:00:00"/>
        <d v="2023-04-23T00:00:00"/>
        <d v="2023-04-25T00:00:00"/>
        <d v="2023-04-27T00:00:00"/>
        <d v="2023-04-28T00:00:00"/>
        <d v="2023-04-30T00:00:00"/>
        <d v="2023-05-01T00:00:00"/>
        <d v="2023-05-03T00:00:00"/>
        <d v="2023-05-06T00:00:00"/>
        <d v="2023-05-08T00:00:00"/>
        <d v="2023-05-09T00:00:00"/>
        <d v="2023-05-10T00:00:00"/>
        <d v="2023-05-11T00:00:00"/>
        <d v="2023-05-12T00:00:00"/>
        <d v="2023-05-14T00:00:00"/>
        <d v="2023-05-19T00:00:00"/>
        <d v="2023-05-25T00:00:00"/>
        <d v="2023-05-26T00:00:00"/>
        <d v="2023-05-27T00:00:00"/>
        <d v="2023-05-30T00:00:00"/>
        <d v="2023-06-04T00:00:00"/>
        <d v="2023-06-06T00:00:00"/>
        <d v="2023-06-09T00:00:00"/>
        <d v="2023-06-11T00:00:00"/>
        <d v="2023-06-12T00:00:00"/>
        <d v="2023-06-13T00:00:00"/>
        <d v="2023-06-16T00:00:00"/>
        <d v="2023-06-20T00:00:00"/>
        <d v="2023-06-21T00:00:00"/>
        <d v="2023-06-27T00:00:00"/>
        <d v="2023-06-28T00:00:00"/>
        <d v="2023-06-29T00:00:00"/>
        <d v="2023-07-01T00:00:00"/>
        <d v="2023-07-05T00:00:00"/>
        <d v="2023-07-09T00:00:00"/>
        <d v="2023-07-14T00:00:00"/>
        <d v="2023-07-15T00:00:00"/>
        <d v="2023-07-20T00:00:00"/>
        <d v="2023-07-22T00:00:00"/>
        <d v="2023-07-23T00:00:00"/>
        <d v="2023-07-25T00:00:00"/>
        <d v="2023-07-26T00:00:00"/>
        <d v="2023-07-28T00:00:00"/>
        <d v="2023-07-31T00:00:00"/>
        <d v="2023-08-02T00:00:00"/>
        <d v="2023-08-07T00:00:00"/>
        <d v="2023-08-12T00:00:00"/>
        <d v="2023-08-13T00:00:00"/>
        <d v="2023-08-14T00:00:00"/>
        <d v="2023-08-15T00:00:00"/>
        <d v="2023-08-18T00:00:00"/>
        <d v="2023-08-20T00:00:00"/>
        <d v="2023-08-24T00:00:00"/>
        <d v="2023-08-26T00:00:00"/>
        <d v="2023-08-30T00:00:00"/>
        <d v="2023-09-03T00:00:00"/>
        <d v="2023-09-10T00:00:00"/>
        <d v="2023-09-11T00:00:00"/>
        <d v="2023-09-12T00:00:00"/>
        <d v="2023-09-16T00:00:00"/>
        <d v="2023-09-17T00:00:00"/>
        <d v="2023-09-24T00:00:00"/>
        <d v="2023-09-26T00:00:00"/>
        <d v="2023-09-27T00:00:00"/>
        <d v="2023-09-29T00:00:00"/>
        <d v="2023-10-04T00:00:00"/>
        <d v="2023-10-17T00:00:00"/>
        <d v="2023-10-19T00:00:00"/>
        <d v="2023-10-23T00:00:00"/>
        <d v="2023-10-26T00:00:00"/>
        <d v="2023-10-28T00:00:00"/>
        <d v="2023-11-05T00:00:00"/>
        <d v="2023-11-09T00:00:00"/>
        <d v="2023-11-14T00:00:00"/>
        <d v="2023-11-15T00:00:00"/>
        <d v="2023-11-20T00:00:00"/>
        <d v="2023-11-28T00:00:00"/>
        <d v="2023-11-29T00:00:00"/>
        <d v="2023-12-03T00:00:00"/>
        <d v="2023-12-07T00:00:00"/>
        <d v="2023-12-09T00:00:00"/>
        <d v="2023-12-10T00:00:00"/>
        <d v="2023-12-12T00:00:00"/>
        <d v="2023-12-14T00:00:00"/>
        <d v="2023-12-18T00:00:00"/>
        <d v="2023-12-19T00:00:00"/>
        <d v="2023-12-21T00:00:00"/>
        <d v="2023-12-29T00:00:00"/>
        <d v="2024-01-01T00:00:00"/>
        <d v="2024-01-03T00:00:00"/>
        <d v="2024-01-11T00:00:00"/>
        <d v="2024-01-16T00:00:00"/>
        <d v="2024-01-18T00:00:00"/>
        <d v="2024-01-21T00:00:00"/>
        <d v="2024-01-26T00:00:00"/>
        <d v="2024-01-27T00:00:00"/>
        <d v="2024-01-28T00:00:00"/>
        <d v="2024-02-03T00:00:00"/>
        <d v="2024-02-04T00:00:00"/>
        <d v="2024-02-08T00:00:00"/>
        <d v="2024-02-09T00:00:00"/>
        <d v="2024-02-18T00:00:00"/>
        <d v="2024-02-19T00:00:00"/>
        <d v="2024-02-20T00:00:00"/>
        <d v="2024-02-23T00:00:00"/>
        <d v="2024-03-02T00:00:00"/>
        <d v="2024-03-06T00:00:00"/>
        <d v="2024-03-09T00:00:00"/>
        <d v="2024-03-15T00:00:00"/>
        <d v="2024-03-23T00:00:00"/>
        <d v="2024-03-25T00:00:00"/>
        <d v="2024-03-31T00:00:00"/>
        <d v="2024-04-03T00:00:00"/>
        <d v="2024-04-09T00:00:00"/>
        <d v="2024-04-10T00:00:00"/>
        <d v="2024-04-12T00:00:00"/>
        <d v="2024-04-13T00:00:00"/>
        <d v="2024-04-14T00:00:00"/>
        <d v="2024-04-16T00:00:00"/>
        <d v="2024-04-21T00:00:00"/>
        <d v="2024-04-22T00:00:00"/>
        <d v="2024-04-24T00:00:00"/>
        <d v="2024-04-28T00:00:00"/>
        <d v="2024-05-07T00:00:00"/>
        <d v="2024-05-10T00:00:00"/>
        <d v="2024-05-11T00:00:00"/>
        <d v="2024-05-12T00:00:00"/>
        <d v="2024-05-16T00:00:00"/>
        <d v="2024-05-20T00:00:00"/>
        <d v="2024-05-23T00:00:00"/>
        <d v="2024-05-25T00:00:00"/>
        <d v="2024-05-26T00:00:00"/>
        <d v="2024-05-27T00:00:00"/>
        <d v="2024-05-30T00:00:00"/>
        <d v="2024-06-02T00:00:00"/>
        <d v="2024-06-07T00:00:00"/>
        <d v="2024-06-08T00:00:00"/>
        <d v="2024-06-10T00:00:00"/>
        <d v="2024-06-11T00:00:00"/>
        <d v="2024-06-15T00:00:00"/>
        <d v="2024-06-16T00:00:00"/>
        <d v="2024-06-17T00:00:00"/>
        <d v="2024-06-19T00:00:00"/>
        <d v="2024-06-21T00:00:00"/>
        <d v="2024-06-23T00:00:00"/>
        <d v="2024-06-24T00:00:00"/>
        <d v="2024-06-29T00:00:00"/>
        <d v="2024-07-02T00:00:00"/>
        <d v="2024-07-05T00:00:00"/>
        <d v="2024-07-07T00:00:00"/>
        <d v="2024-07-11T00:00:00"/>
        <d v="2024-07-13T00:00:00"/>
        <d v="2024-07-14T00:00:00"/>
        <d v="2024-07-17T00:00:00"/>
        <d v="2024-07-22T00:00:00"/>
        <d v="2024-07-24T00:00:00"/>
        <d v="2024-07-30T00:00:00"/>
        <d v="2024-08-03T00:00:00"/>
        <d v="2024-08-09T00:00:00"/>
        <d v="2024-08-10T00:00:00"/>
        <d v="2024-08-12T00:00:00"/>
        <d v="2024-08-18T00:00:00"/>
        <d v="2024-08-19T00:00:00"/>
        <d v="2024-08-23T00:00:00"/>
        <d v="2024-09-05T00:00:00"/>
        <d v="2024-09-06T00:00:00"/>
        <d v="2024-09-07T00:00:00"/>
        <d v="2024-09-09T00:00:00"/>
        <d v="2024-09-17T00:00:00"/>
        <d v="2024-09-30T00:00:00"/>
        <d v="2024-10-03T00:00:00"/>
        <d v="2024-10-08T00:00:00"/>
        <d v="2024-10-11T00:00:00"/>
        <d v="2024-10-29T00:00:00"/>
        <d v="2024-10-22T00:00:00"/>
        <d v="2024-10-18T00:00:00"/>
        <d v="2024-10-23T00:00:00"/>
        <d v="2024-11-02T00:00:00"/>
        <d v="2024-11-05T00:00:00"/>
        <d v="2024-11-11T00:00:00"/>
        <d v="2024-11-18T00:00:00"/>
        <d v="2024-11-22T00:00:00"/>
        <d v="2024-11-19T00:00:00"/>
        <d v="2024-11-24T00:00:00"/>
        <d v="2024-12-03T00:00:00"/>
        <d v="2024-12-14T00:00:00"/>
        <d v="2024-12-16T00:00:00"/>
        <d v="2024-12-17T00:00:00"/>
        <m/>
      </sharedItems>
      <fieldGroup par="16"/>
    </cacheField>
    <cacheField name="Unload Date" numFmtId="164">
      <sharedItems containsNonDate="0" containsDate="1" containsBlank="1" containsMixedTypes="1" minDate="2022-06-09T00:00:00" maxDate="2024-12-18T00:00:00" count="246">
        <d v="2022-06-09T00:00:00"/>
        <d v="2022-06-21T00:00:00"/>
        <d v="2022-06-25T00:00:00"/>
        <d v="2022-07-12T00:00:00"/>
        <d v="2022-07-15T00:00:00"/>
        <d v="2022-07-19T00:00:00"/>
        <d v="2022-07-23T00:00:00"/>
        <d v="2022-07-26T00:00:00"/>
        <d v="2022-07-30T00:00:00"/>
        <d v="2022-08-06T00:00:00"/>
        <d v="2022-08-09T00:00:00"/>
        <d v="2022-08-14T00:00:00"/>
        <d v="2022-08-19T00:00:00"/>
        <d v="2022-08-25T00:00:00"/>
        <d v="2022-09-09T00:00:00"/>
        <d v="2022-09-03T00:00:00"/>
        <d v="2022-09-10T00:00:00"/>
        <d v="2022-09-28T00:00:00"/>
        <d v="2022-09-19T00:00:00"/>
        <d v="2022-09-16T00:00:00"/>
        <d v="2022-09-27T00:00:00"/>
        <d v="2022-10-19T00:00:00"/>
        <d v="2022-10-09T00:00:00"/>
        <d v="2022-10-11T00:00:00"/>
        <d v="2022-10-20T00:00:00"/>
        <d v="2022-10-25T00:00:00"/>
        <d v="2022-10-23T00:00:00"/>
        <d v="2022-11-14T00:00:00"/>
        <d v="2022-11-02T00:00:00"/>
        <d v="2022-10-29T00:00:00"/>
        <d v="2022-12-07T00:00:00"/>
        <d v="2022-11-10T00:00:00"/>
        <d v="2022-12-02T00:00:00"/>
        <d v="2022-11-17T00:00:00"/>
        <d v="2022-12-14T00:00:00"/>
        <d v="2022-12-29T00:00:00"/>
        <d v="2022-12-10T00:00:00"/>
        <d v="2022-12-17T00:00:00"/>
        <d v="2023-01-10T00:00:00"/>
        <d v="2023-01-02T00:00:00"/>
        <d v="2023-01-01T00:00:00"/>
        <d v="2023-01-03T00:00:00"/>
        <d v="2023-01-04T00:00:00"/>
        <d v="2023-01-07T00:00:00"/>
        <d v="2023-01-11T00:00:00"/>
        <d v="2024-01-11T00:00:00"/>
        <d v="2023-01-19T00:00:00"/>
        <d v="2023-01-25T00:00:00"/>
        <d v="2023-01-21T00:00:00"/>
        <d v="2023-01-22T00:00:00"/>
        <d v="2023-01-29T00:00:00"/>
        <d v="2023-01-26T00:00:00"/>
        <d v="2023-02-09T00:00:00"/>
        <d v="2023-02-14T00:00:00"/>
        <d v="2023-02-08T00:00:00"/>
        <d v="2023-02-15T00:00:00"/>
        <d v="2023-03-15T00:00:00"/>
        <d v="2023-02-18T00:00:00"/>
        <d v="2023-02-19T00:00:00"/>
        <d v="2023-02-20T00:00:00"/>
        <d v="2023-05-19T00:00:00"/>
        <d v="2023-03-06T00:00:00"/>
        <d v="2023-03-16T00:00:00"/>
        <d v="2023-03-19T00:00:00"/>
        <d v="2023-03-20T00:00:00"/>
        <d v="2023-04-12T00:00:00"/>
        <d v="2023-04-08T00:00:00"/>
        <d v="2023-04-09T00:00:00"/>
        <d v="2023-04-15T00:00:00"/>
        <d v="2023-04-21T00:00:00"/>
        <d v="2023-04-17T00:00:00"/>
        <d v="2023-04-20T00:00:00"/>
        <d v="2023-04-28T00:00:00"/>
        <d v="2023-04-25T00:00:00"/>
        <d v="2023-04-27T00:00:00"/>
        <d v="2023-04-29T00:00:00"/>
        <d v="2023-05-08T00:00:00"/>
        <d v="2023-05-01T00:00:00"/>
        <d v="2023-05-03T00:00:00"/>
        <d v="2023-05-09T00:00:00"/>
        <d v="2023-05-14T00:00:00"/>
        <d v="2023-05-12T00:00:00"/>
        <d v="2023-05-11T00:00:00"/>
        <d v="2023-05-24T00:00:00"/>
        <d v="2023-05-25T00:00:00"/>
        <d v="2023-05-26T00:00:00"/>
        <d v="2023-05-27T00:00:00"/>
        <d v="2023-06-04T00:00:00"/>
        <d v="2023-06-06T00:00:00"/>
        <d v="2023-06-13T00:00:00"/>
        <d v="2023-06-11T00:00:00"/>
        <d v="2023-06-12T00:00:00"/>
        <d v="2023-06-24T00:00:00"/>
        <d v="2023-06-16T00:00:00"/>
        <d v="2023-06-20T00:00:00"/>
        <d v="2023-06-22T00:00:00"/>
        <d v="2023-06-27T00:00:00"/>
        <d v="2023-06-29T00:00:00"/>
        <d v="2023-07-04T00:00:00"/>
        <d v="2023-07-01T00:00:00"/>
        <d v="2023-07-05T00:00:00"/>
        <d v="2023-07-07T00:00:00"/>
        <d v="2023-07-09T00:00:00"/>
        <d v="2023-07-14T00:00:00"/>
        <d v="2023-07-20T00:00:00"/>
        <d v="2023-07-16T00:00:00"/>
        <d v="2023-07-25T00:00:00"/>
        <d v="2023-07-22T00:00:00"/>
        <d v="2023-07-23T00:00:00"/>
        <d v="2023-07-26T00:00:00"/>
        <d v="2023-08-08T00:00:00"/>
        <d v="2023-07-31T00:00:00"/>
        <d v="2023-08-02T00:00:00"/>
        <d v="2023-08-07T00:00:00"/>
        <d v="2023-08-12T00:00:00"/>
        <d v="2023-08-23T00:00:00"/>
        <d v="2023-08-14T00:00:00"/>
        <d v="2023-08-15T00:00:00"/>
        <d v="2023-08-18T00:00:00"/>
        <d v="2023-08-25T00:00:00"/>
        <d v="2023-08-24T00:00:00"/>
        <d v="2023-08-26T00:00:00"/>
        <d v="2023-08-30T00:00:00"/>
        <d v="2023-09-10T00:00:00"/>
        <d v="2023-09-15T00:00:00"/>
        <d v="2023-10-06T00:00:00"/>
        <d v="2023-09-11T00:00:00"/>
        <d v="2023-09-24T00:00:00"/>
        <d v="2023-09-17T00:00:00"/>
        <d v="2023-09-26T00:00:00"/>
        <d v="2023-09-27T00:00:00"/>
        <d v="2023-10-25T00:00:00"/>
        <d v="2023-10-04T00:00:00"/>
        <d v="2023-10-17T00:00:00"/>
        <d v="2023-10-19T00:00:00"/>
        <d v="2023-10-23T00:00:00"/>
        <d v="2023-11-09T00:00:00"/>
        <d v="2023-10-28T00:00:00"/>
        <d v="2023-11-05T00:00:00"/>
        <d v="2023-11-14T00:00:00"/>
        <d v="2023-11-25T00:00:00"/>
        <d v="2023-11-15T00:00:00"/>
        <d v="2023-11-20T00:00:00"/>
        <d v="2023-11-28T00:00:00"/>
        <d v="2023-11-29T00:00:00"/>
        <d v="2023-12-03T00:00:00"/>
        <d v="2023-12-07T00:00:00"/>
        <d v="2023-12-09T00:00:00"/>
        <d v="2023-12-12T00:00:00"/>
        <d v="2023-12-14T00:00:00"/>
        <d v="2023-12-18T00:00:00"/>
        <d v="2023-12-19T00:00:00"/>
        <d v="2023-12-29T00:00:00"/>
        <d v="2024-01-03T00:00:00"/>
        <d v="2024-01-04T00:00:00"/>
        <d v="2024-01-06T00:00:00"/>
        <d v="2024-01-16T00:00:00"/>
        <d v="2024-01-18T00:00:00"/>
        <d v="2024-01-21T00:00:00"/>
        <d v="2024-01-28T00:00:00"/>
        <d v="2024-01-26T00:00:00"/>
        <d v="2024-01-27T00:00:00"/>
        <d v="2024-02-03T00:00:00"/>
        <d v="2024-02-17T00:00:00"/>
        <d v="2024-02-08T00:00:00"/>
        <d v="2024-02-13T00:00:00"/>
        <d v="2024-02-18T00:00:00"/>
        <d v="2024-02-19T00:00:00"/>
        <d v="2024-02-20T00:00:00"/>
        <d v="2024-02-29T00:00:00"/>
        <d v="2024-03-02T00:00:00"/>
        <d v="2024-03-09T00:00:00"/>
        <d v="2024-03-15T00:00:00"/>
        <d v="2024-03-23T00:00:00"/>
        <d v="2024-03-31T00:00:00"/>
        <d v="2024-03-25T00:00:00"/>
        <d v="2024-04-07T00:00:00"/>
        <d v="2024-04-19T00:00:00"/>
        <d v="2024-04-14T00:00:00"/>
        <d v="2024-04-13T00:00:00"/>
        <d v="2024-04-16T00:00:00"/>
        <d v="2024-04-24T00:00:00"/>
        <d v="2024-04-25T00:00:00"/>
        <d v="2024-05-02T00:00:00"/>
        <d v="2024-04-28T00:00:00"/>
        <d v="2024-05-07T00:00:00"/>
        <d v="2024-05-11T00:00:00"/>
        <d v="2024-05-10T00:00:00"/>
        <d v="2024-05-25T00:00:00"/>
        <d v="2024-05-12T00:00:00"/>
        <d v="2024-05-23T00:00:00"/>
        <d v="2024-05-20T00:00:00"/>
        <d v="2024-05-26T00:00:00"/>
        <d v="2024-05-27T00:00:00"/>
        <d v="2024-05-30T00:00:00"/>
        <d v="2024-06-02T00:00:00"/>
        <d v="2024-06-07T00:00:00"/>
        <d v="2024-06-08T00:00:00"/>
        <d v="2024-06-10T00:00:00"/>
        <d v="2024-06-15T00:00:00"/>
        <d v="2024-06-21T00:00:00"/>
        <d v="2024-06-16T00:00:00"/>
        <d v="2024-06-17T00:00:00"/>
        <d v="2024-06-19T00:00:00"/>
        <d v="2024-06-23T00:00:00"/>
        <d v="2024-06-24T00:00:00"/>
        <d v="2024-06-29T00:00:00"/>
        <d v="2024-07-02T00:00:00"/>
        <d v="2024-07-05T00:00:00"/>
        <d v="2024-07-11T00:00:00"/>
        <d v="2024-07-14T00:00:00"/>
        <d v="2024-07-13T00:00:00"/>
        <d v="2024-07-22T00:00:00"/>
        <d v="2024-07-24T00:00:00"/>
        <d v="2024-08-03T00:00:00"/>
        <d v="2024-08-12T00:00:00"/>
        <d v="2024-08-09T00:00:00"/>
        <d v="2024-08-10T00:00:00"/>
        <d v="2024-08-18T00:00:00"/>
        <d v="2024-09-11T00:00:00"/>
        <d v="2024-08-19T00:00:00"/>
        <d v="2024-09-01T00:00:00"/>
        <d v="2024-09-05T00:00:00"/>
        <d v="2024-09-06T00:00:00"/>
        <d v="2024-09-07T00:00:00"/>
        <d v="2024-09-09T00:00:00"/>
        <d v="2024-10-08T00:00:00"/>
        <d v="2024-09-30T00:00:00"/>
        <d v="2024-10-03T00:00:00"/>
        <d v="2024-10-20T00:00:00"/>
        <d v="2024-10-11T00:00:00"/>
        <d v="2024-10-29T00:00:00"/>
        <d v="2024-10-22T00:00:00"/>
        <s v="INCOMPLETE"/>
        <d v="2024-10-23T00:00:00"/>
        <d v="2024-11-11T00:00:00"/>
        <d v="2024-11-05T00:00:00"/>
        <d v="2024-11-18T00:00:00"/>
        <d v="2024-11-22T00:00:00"/>
        <d v="2024-11-19T00:00:00"/>
        <d v="2024-11-24T00:00:00"/>
        <d v="2024-12-03T00:00:00"/>
        <d v="2024-12-14T00:00:00"/>
        <d v="2024-12-16T00:00:00"/>
        <d v="2024-12-17T00:00:00"/>
        <m/>
      </sharedItems>
      <fieldGroup par="19"/>
    </cacheField>
    <cacheField name="Developed" numFmtId="0">
      <sharedItems containsBlank="1"/>
    </cacheField>
    <cacheField name="Scanned" numFmtId="0">
      <sharedItems containsBlank="1"/>
    </cacheField>
    <cacheField name="Develop Notes" numFmtId="0">
      <sharedItems containsBlank="1"/>
    </cacheField>
    <cacheField name="Scan Notes" numFmtId="0">
      <sharedItems containsBlank="1"/>
    </cacheField>
    <cacheField name="Shot Notes" numFmtId="0">
      <sharedItems containsBlank="1"/>
    </cacheField>
    <cacheField name="Film Brand" numFmtId="0">
      <sharedItems containsBlank="1"/>
    </cacheField>
    <cacheField name="Film Stock" numFmtId="0">
      <sharedItems containsBlank="1" containsMixedTypes="1" containsNumber="1" containsInteger="1" minValue="200" maxValue="800"/>
    </cacheField>
    <cacheField name="Film Format" numFmtId="0">
      <sharedItems containsBlank="1" containsMixedTypes="1" containsNumber="1" containsInteger="1" minValue="135" maxValue="135"/>
    </cacheField>
    <cacheField name="Push/Pull" numFmtId="0">
      <sharedItems containsBlank="1"/>
    </cacheField>
    <cacheField name="Camera" numFmtId="0">
      <sharedItems containsBlank="1" count="27">
        <s v="Nikon FE"/>
        <s v="Canonet QL17 GIII"/>
        <s v="Yashica Mat EM"/>
        <s v="Mamiya 645 Pro"/>
        <s v="Nikon FG"/>
        <s v="Olympus AF-1 Super"/>
        <s v="Fuji GA645"/>
        <s v="Bronica GS-1"/>
        <s v="Yashica Mat 124G"/>
        <s v="Nikon F4"/>
        <s v="Graflex Super Graphic"/>
        <s v="Pentax 6x7"/>
        <s v="Voigtlander Bessa II"/>
        <s v="Graflex Super Graphic "/>
        <s v="Hasselblad 500CM"/>
        <s v="Rollei 35 LED"/>
        <s v="Olympus AF-1 Super "/>
        <s v="Leica M6"/>
        <s v="Canon 7"/>
        <s v="Linhof Kardan E"/>
        <s v="Mamiya C33"/>
        <s v="Mamiya RB 67 Pro SD"/>
        <s v="Nikon F100"/>
        <s v="Pentax PC35AF"/>
        <m/>
        <s v="Pentax 67"/>
        <s v="Olympus AF1 Super" u="1"/>
      </sharedItems>
    </cacheField>
    <cacheField name="Lenses" numFmtId="0">
      <sharedItems containsBlank="1"/>
    </cacheField>
    <cacheField name="Roll Rating" numFmtId="0">
      <sharedItems containsString="0" containsBlank="1" containsNumber="1" containsInteger="1" minValue="0" maxValue="5"/>
    </cacheField>
    <cacheField name="Months (Load Date)" numFmtId="0" databaseField="0">
      <fieldGroup base="0">
        <rangePr groupBy="months" startDate="2019-05-01T00:00:00" endDate="2024-12-18T00:00:00"/>
        <groupItems count="14">
          <s v="&lt;5/1/2019"/>
          <s v="Jan"/>
          <s v="Feb"/>
          <s v="Mar"/>
          <s v="Apr"/>
          <s v="May"/>
          <s v="Jun"/>
          <s v="Jul"/>
          <s v="Aug"/>
          <s v="Sep"/>
          <s v="Oct"/>
          <s v="Nov"/>
          <s v="Dec"/>
          <s v="&gt;12/18/2024"/>
        </groupItems>
      </fieldGroup>
    </cacheField>
    <cacheField name="Quarters (Load Date)" numFmtId="0" databaseField="0">
      <fieldGroup base="0">
        <rangePr groupBy="quarters" startDate="2019-05-01T00:00:00" endDate="2024-12-18T00:00:00"/>
        <groupItems count="6">
          <s v="&lt;5/1/2019"/>
          <s v="Qtr1"/>
          <s v="Qtr2"/>
          <s v="Qtr3"/>
          <s v="Qtr4"/>
          <s v="&gt;12/18/2024"/>
        </groupItems>
      </fieldGroup>
    </cacheField>
    <cacheField name="Years (Load Date)" numFmtId="0" databaseField="0">
      <fieldGroup base="0">
        <rangePr groupBy="years" startDate="2019-05-01T00:00:00" endDate="2024-12-18T00:00:00"/>
        <groupItems count="8">
          <s v="&lt;5/1/2019"/>
          <s v="2019"/>
          <s v="2020"/>
          <s v="2021"/>
          <s v="2022"/>
          <s v="2023"/>
          <s v="2024"/>
          <s v="&gt;12/18/2024"/>
        </groupItems>
      </fieldGroup>
    </cacheField>
    <cacheField name="Months (Unload Date)" numFmtId="0" databaseField="0">
      <fieldGroup base="1">
        <rangePr groupBy="months" startDate="2022-06-09T00:00:00" endDate="2024-12-18T00:00:00"/>
        <groupItems count="14">
          <s v="&lt;6/9/2022"/>
          <s v="Jan"/>
          <s v="Feb"/>
          <s v="Mar"/>
          <s v="Apr"/>
          <s v="May"/>
          <s v="Jun"/>
          <s v="Jul"/>
          <s v="Aug"/>
          <s v="Sep"/>
          <s v="Oct"/>
          <s v="Nov"/>
          <s v="Dec"/>
          <s v="&gt;12/18/2024"/>
        </groupItems>
      </fieldGroup>
    </cacheField>
    <cacheField name="Quarters (Unload Date)" numFmtId="0" databaseField="0">
      <fieldGroup base="1">
        <rangePr groupBy="quarters" startDate="2022-06-09T00:00:00" endDate="2024-12-18T00:00:00"/>
        <groupItems count="6">
          <s v="&lt;6/9/2022"/>
          <s v="Qtr1"/>
          <s v="Qtr2"/>
          <s v="Qtr3"/>
          <s v="Qtr4"/>
          <s v="&gt;12/18/2024"/>
        </groupItems>
      </fieldGroup>
    </cacheField>
    <cacheField name="Years (Unload Date)" numFmtId="0" databaseField="0">
      <fieldGroup base="1">
        <rangePr groupBy="years" startDate="2022-06-09T00:00:00" endDate="2024-12-18T00:00:00"/>
        <groupItems count="5">
          <s v="&lt;6/9/2022"/>
          <s v="2022"/>
          <s v="2023"/>
          <s v="2024"/>
          <s v="&gt;12/18/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s v="Lab - McBain"/>
    <s v="Lab - McBain"/>
    <m/>
    <m/>
    <s v="Green Cast due to under exposure"/>
    <s v="Fujifilm"/>
    <s v="C200"/>
    <n v="135"/>
    <m/>
    <x v="0"/>
    <s v="Nikkor S-Auto 50mm f/1.4"/>
    <n v="1"/>
  </r>
  <r>
    <x v="1"/>
    <x v="1"/>
    <s v="Lab - McBain"/>
    <s v="Lab - McBain"/>
    <m/>
    <m/>
    <s v="Green Cast due to under exposure "/>
    <s v="Fujifilm"/>
    <s v="Superia 200"/>
    <n v="135"/>
    <m/>
    <x v="0"/>
    <s v="Nikkor S-Auto 50mm f/1.4"/>
    <n v="1"/>
  </r>
  <r>
    <x v="2"/>
    <x v="1"/>
    <s v="Lab - McBain"/>
    <s v="Lab - McBain"/>
    <m/>
    <m/>
    <s v="Green Cast due to under exposure"/>
    <s v="Kodak"/>
    <s v="Gold 200"/>
    <n v="135"/>
    <m/>
    <x v="0"/>
    <s v="Nikkor S-Auto 50mm f/1.4"/>
    <n v="1"/>
  </r>
  <r>
    <x v="3"/>
    <x v="2"/>
    <s v="Lab - McBain"/>
    <s v="Lab - McBain"/>
    <m/>
    <m/>
    <s v="Yellow cast from under exposure / only 14 shots turned out because of extreme under exposure on rest of roll"/>
    <s v="Kodak"/>
    <s v="Gold 200"/>
    <n v="135"/>
    <m/>
    <x v="0"/>
    <s v="Nikkor S-Auto 50mm f/1.4"/>
    <n v="2"/>
  </r>
  <r>
    <x v="4"/>
    <x v="3"/>
    <s v="Lab - McBain"/>
    <s v="Self - Epson V550"/>
    <m/>
    <s v="Soft Scans due to inexperience "/>
    <s v="Day in Calgary roll 1 - Some shots under exposed"/>
    <s v="Kodak"/>
    <s v="Portra 400"/>
    <n v="135"/>
    <m/>
    <x v="0"/>
    <s v="Nikkor S-Auto 50mm f/1.4"/>
    <n v="2"/>
  </r>
  <r>
    <x v="4"/>
    <x v="3"/>
    <s v="Lab - McBain"/>
    <s v="Self - Epson V550"/>
    <m/>
    <m/>
    <s v="Day in Calgary roll 2"/>
    <s v="Kodak"/>
    <s v="Portra 800"/>
    <n v="135"/>
    <m/>
    <x v="0"/>
    <s v="Nikkor S-Auto 50mm f/1.4"/>
    <n v="4"/>
  </r>
  <r>
    <x v="5"/>
    <x v="4"/>
    <s v="Self - Cinestill DF96"/>
    <s v="Self - Epson V550"/>
    <s v="Scratched and damaged negatives from loading"/>
    <m/>
    <s v="Some heavily underexposed, some very overexposed"/>
    <s v="Ilford"/>
    <s v="HP5+"/>
    <n v="135"/>
    <m/>
    <x v="1"/>
    <s v="Built-in"/>
    <n v="1"/>
  </r>
  <r>
    <x v="6"/>
    <x v="5"/>
    <s v="Lab - McBain"/>
    <s v="Lab - McBain"/>
    <m/>
    <m/>
    <m/>
    <s v="Kodak"/>
    <s v="Gold 200"/>
    <n v="135"/>
    <m/>
    <x v="1"/>
    <s v="Built-in"/>
    <n v="3"/>
  </r>
  <r>
    <x v="7"/>
    <x v="6"/>
    <s v="Lab - McBain"/>
    <s v="Lab - McBain"/>
    <m/>
    <m/>
    <s v="Stratus Life in Green Walk"/>
    <s v="Kodak"/>
    <s v="Gold 200"/>
    <s v="120 - 6x6"/>
    <m/>
    <x v="2"/>
    <s v="Built-in"/>
    <n v="2"/>
  </r>
  <r>
    <x v="7"/>
    <x v="6"/>
    <s v="Lab - Paul Stack"/>
    <s v="Self - Epson V550"/>
    <m/>
    <m/>
    <s v="Messed up loading, only last 3 pictures turned out"/>
    <s v="Kodak"/>
    <s v="Portra 160"/>
    <s v="120 - 6x6"/>
    <m/>
    <x v="2"/>
    <s v="Built-in"/>
    <n v="1"/>
  </r>
  <r>
    <x v="8"/>
    <x v="7"/>
    <s v="Lab - Paul Stack"/>
    <s v="Self - Epson V550"/>
    <m/>
    <m/>
    <s v="First shot was accidental double exposure, UrbanYEG meet"/>
    <s v="Kodak"/>
    <s v="Gold 200"/>
    <s v="120 - 6x6"/>
    <m/>
    <x v="2"/>
    <s v="Built-in"/>
    <n v="3"/>
  </r>
  <r>
    <x v="9"/>
    <x v="8"/>
    <s v="Self - Cinestill DF96"/>
    <s v="Self - Epson V550"/>
    <s v="Dents on negatives from loading and unloading"/>
    <m/>
    <m/>
    <s v="Ilford"/>
    <s v="FP4+"/>
    <s v="120 - 6x6"/>
    <m/>
    <x v="2"/>
    <s v="Built-in"/>
    <n v="2"/>
  </r>
  <r>
    <x v="10"/>
    <x v="9"/>
    <s v="Lab - McBain"/>
    <s v="Lab - McBain"/>
    <m/>
    <m/>
    <s v="Few shots out of focus"/>
    <s v="Fujifilm"/>
    <s v="Superia 400"/>
    <n v="135"/>
    <m/>
    <x v="0"/>
    <s v="Nikkor S-Auto 50mm f/1.4"/>
    <n v="4"/>
  </r>
  <r>
    <x v="11"/>
    <x v="10"/>
    <s v="Lab - McBain"/>
    <s v="Lab - McBain"/>
    <m/>
    <m/>
    <s v="Last frame overlapped"/>
    <s v="Kodak"/>
    <s v="Portra 400"/>
    <n v="135"/>
    <m/>
    <x v="0"/>
    <s v="Nikkor S-Auto 50mm f/1.4"/>
    <n v="4"/>
  </r>
  <r>
    <x v="12"/>
    <x v="11"/>
    <s v="Self - Cinestill DF96"/>
    <s v="Self - Epson V550"/>
    <s v="Dusty and hairy negatives from no photoflo and dropping negatives "/>
    <m/>
    <m/>
    <s v="Ilford"/>
    <s v="HP5+"/>
    <s v="120 - 6x6"/>
    <m/>
    <x v="2"/>
    <s v="Built-in"/>
    <n v="2"/>
  </r>
  <r>
    <x v="13"/>
    <x v="12"/>
    <s v="N/A"/>
    <s v="N/A"/>
    <m/>
    <m/>
    <s v="Roll unwound in my hand due to missing the start mark. No negatives to show"/>
    <s v="Ilford"/>
    <s v="FP4+"/>
    <s v="120 - 645"/>
    <m/>
    <x v="3"/>
    <s v="Mamiya Sekor C 80mm f/1.9"/>
    <n v="0"/>
  </r>
  <r>
    <x v="13"/>
    <x v="12"/>
    <s v="Self - Cinestill DF96"/>
    <s v="Self - Epson V550"/>
    <s v="Scratched up negatives with lots of dust/might be under developed"/>
    <m/>
    <s v="Mamiya 645 Pro test roll. Lots of photos out of focus from mirror stop issue. Also heavily underexposed"/>
    <s v="Rollei"/>
    <s v="RPX 400"/>
    <s v="120 - 645"/>
    <m/>
    <x v="3"/>
    <s v="Mamiya Sekor C 80mm f/1.9"/>
    <n v="0"/>
  </r>
  <r>
    <x v="14"/>
    <x v="13"/>
    <s v="Self - Cinestill DF96"/>
    <s v="Self - Epson V550"/>
    <m/>
    <m/>
    <m/>
    <s v="Kodak"/>
    <s v="TMax 400"/>
    <n v="135"/>
    <m/>
    <x v="0"/>
    <s v="Nikkor S-Auto 50mm f/1.4"/>
    <n v="3"/>
  </r>
  <r>
    <x v="15"/>
    <x v="13"/>
    <s v="Self - Cinestill CS41"/>
    <s v="Self - Epson V550"/>
    <s v="Colour shifts. Temp on chemicals might've been too high"/>
    <m/>
    <s v="Most shots out of focus"/>
    <s v="Cinestill"/>
    <s v="800T"/>
    <s v="120 - 645"/>
    <m/>
    <x v="3"/>
    <s v="Mamiya Sekor C 80mm f/1.9"/>
    <n v="1"/>
  </r>
  <r>
    <x v="16"/>
    <x v="14"/>
    <s v="Self - Cinestill CS41"/>
    <s v="Self - Epson V550"/>
    <s v="Colour shifts. Temp on chemicals might've been too high"/>
    <s v="Attempted dslr scanning, not effective, went with v550 scans"/>
    <s v="light leaks on some frames"/>
    <s v="Fujifilm"/>
    <s v="Superia 400"/>
    <n v="135"/>
    <m/>
    <x v="0"/>
    <s v="Nikkor S-Auto 50mm f/1.4 &amp; Nikon AF 28mm f/2.8"/>
    <n v="2"/>
  </r>
  <r>
    <x v="17"/>
    <x v="15"/>
    <s v="Self - Cinestill CS41 Kit"/>
    <s v="Self - Epson V550"/>
    <m/>
    <s v="Dusty negatives"/>
    <m/>
    <s v="Kodak"/>
    <s v="Portra 160"/>
    <s v="120 - 6x6"/>
    <m/>
    <x v="2"/>
    <s v="Built-in"/>
    <m/>
  </r>
  <r>
    <x v="18"/>
    <x v="16"/>
    <s v="Self - Cinestill CS41 Kit"/>
    <s v="Self - Epson V550"/>
    <m/>
    <m/>
    <s v="Karola dog park shoot"/>
    <s v="Kodak"/>
    <s v="Gold 200"/>
    <s v="120 - 6x6"/>
    <m/>
    <x v="2"/>
    <s v="Built-in"/>
    <m/>
  </r>
  <r>
    <x v="18"/>
    <x v="17"/>
    <s v="Self - Cinestill CS41 Kit"/>
    <s v="Self - Epson V550"/>
    <m/>
    <m/>
    <s v="End of Karola shoot and fall solo photo walk"/>
    <s v="Cinestill"/>
    <s v="800T"/>
    <s v="120 - 6x6"/>
    <m/>
    <x v="2"/>
    <s v="Built-in"/>
    <m/>
  </r>
  <r>
    <x v="19"/>
    <x v="18"/>
    <s v="Self - Cinestill CS41"/>
    <s v="Self - Fuji X-T3 w/digitaliza holder"/>
    <m/>
    <m/>
    <s v="Most shots blank. Heavy light leaks on bottom and left of frames"/>
    <s v="Ilford"/>
    <s v="XP2 Super"/>
    <n v="135"/>
    <m/>
    <x v="0"/>
    <s v="Nikon AF 28mm f/2.8"/>
    <m/>
  </r>
  <r>
    <x v="20"/>
    <x v="19"/>
    <s v="Self - Cinestill DF96"/>
    <s v="Self - Epson V550"/>
    <s v="Streaking on some shots from lack of agitation"/>
    <m/>
    <s v="All shots out of focus due to mirror stop issue"/>
    <s v="Ilford"/>
    <s v="Delta 400"/>
    <s v="120 - 645"/>
    <m/>
    <x v="3"/>
    <s v="Mamiya Sekor C 80mm f/1.9"/>
    <m/>
  </r>
  <r>
    <x v="21"/>
    <x v="20"/>
    <s v="Self - Cinestill DF96"/>
    <s v="Self - Epson V550"/>
    <m/>
    <s v="Dusty negatives"/>
    <s v="Mamiya 645 Pro test 3. Focus fixed"/>
    <s v="Ilford"/>
    <s v="HP5+"/>
    <s v="120 - 645"/>
    <m/>
    <x v="3"/>
    <s v="Mamiya Sekor C 80mm f/1.9"/>
    <m/>
  </r>
  <r>
    <x v="22"/>
    <x v="21"/>
    <s v="Self - Cinestill CS41 Kit"/>
    <s v="Self - Epson V550"/>
    <s v="Odd colour shifts on some images possibly due to old chemicals"/>
    <m/>
    <s v="Light leaks on first few shots"/>
    <s v="Lomography"/>
    <s v="Color Negative 100"/>
    <s v="120 - 6x6"/>
    <m/>
    <x v="2"/>
    <s v="Built-in"/>
    <m/>
  </r>
  <r>
    <x v="23"/>
    <x v="22"/>
    <s v="Self - Cinestill CS41"/>
    <s v="Self - Epson V550"/>
    <s v="Heavy Magenta colour shifts"/>
    <m/>
    <s v="some shots out of focus. Fall group shoot"/>
    <s v="Kodak"/>
    <s v="Portra 400"/>
    <s v="120 - 645"/>
    <m/>
    <x v="3"/>
    <s v="Mamiya Sekor C 80mm f/1.9"/>
    <m/>
  </r>
  <r>
    <x v="23"/>
    <x v="22"/>
    <s v="Self - Cinestill CS41"/>
    <s v="Self - Epson V550"/>
    <m/>
    <m/>
    <s v="perfect"/>
    <s v="Kodak"/>
    <s v="Portra 800"/>
    <s v="120 - 645"/>
    <m/>
    <x v="3"/>
    <s v="Mamiya Sekor C 80mm f/1.9"/>
    <n v="5"/>
  </r>
  <r>
    <x v="24"/>
    <x v="23"/>
    <s v="Self - Cinestill DF96"/>
    <s v="Self - Epson V550"/>
    <s v="Some streaking from bad agitation"/>
    <s v="Soft scans"/>
    <s v="Nikon FG test roll"/>
    <s v="Ilford"/>
    <s v="HP5+"/>
    <n v="135"/>
    <m/>
    <x v="4"/>
    <s v="Nikon AF 28mm f/2.8"/>
    <n v="1"/>
  </r>
  <r>
    <x v="25"/>
    <x v="24"/>
    <s v="Lab - Stratus Lab"/>
    <s v="Self - Epson V550"/>
    <m/>
    <s v="Scans from stratus were very soft"/>
    <m/>
    <s v="Fujifilm"/>
    <s v="Superia 400"/>
    <n v="135"/>
    <m/>
    <x v="4"/>
    <s v="Nikon AF 28mm f/2.8"/>
    <n v="2"/>
  </r>
  <r>
    <x v="26"/>
    <x v="21"/>
    <s v="Self - Cinestill CS41 Kit"/>
    <s v="Self - Epson V550"/>
    <m/>
    <s v="Some scratching of dye on 1 or 2 frames"/>
    <m/>
    <s v="Kodak"/>
    <s v="Gold 200"/>
    <s v="120 - 6x6"/>
    <m/>
    <x v="2"/>
    <s v="Built-in"/>
    <n v="3"/>
  </r>
  <r>
    <x v="27"/>
    <x v="25"/>
    <s v="Self - Cinestill CS41"/>
    <s v="Self - Epson V550"/>
    <m/>
    <s v="Very grainy since it was expired film"/>
    <s v="first 4 shots were from 50 to 400. Expired like 2003 so ISO 160 might be best"/>
    <s v="Kodak"/>
    <s v="Max GC 400"/>
    <n v="135"/>
    <m/>
    <x v="4"/>
    <s v="Nikon AF 28mm f/2.8"/>
    <n v="2"/>
  </r>
  <r>
    <x v="28"/>
    <x v="26"/>
    <s v="Self - Cinestill DF96"/>
    <s v="Self - Epson V550"/>
    <m/>
    <s v="Dusty negatives"/>
    <s v="Stratus lab bts and olympus af1 test roll"/>
    <s v="Kodak"/>
    <s v="TMax 400"/>
    <n v="135"/>
    <m/>
    <x v="5"/>
    <s v="Built-in"/>
    <n v="2"/>
  </r>
  <r>
    <x v="29"/>
    <x v="27"/>
    <s v="Self - Cinestill CS41"/>
    <s v="Self - Epson V550"/>
    <m/>
    <m/>
    <s v="Static made red lines across frames"/>
    <s v="Cinestill"/>
    <s v="800T"/>
    <n v="135"/>
    <m/>
    <x v="5"/>
    <s v="Built-in"/>
    <n v="3"/>
  </r>
  <r>
    <x v="30"/>
    <x v="28"/>
    <s v="Self - Cinestill DF96"/>
    <s v="Self - Epson V550"/>
    <s v="Streaking on some shots from lack of agitation and weird artifacts"/>
    <m/>
    <s v="Fuji GA645 Test roll"/>
    <s v="Japan Camera Hunter"/>
    <s v="Streetpan 400"/>
    <s v="120 - 645"/>
    <m/>
    <x v="6"/>
    <s v="Built-in"/>
    <n v="2"/>
  </r>
  <r>
    <x v="31"/>
    <x v="29"/>
    <s v="Self - Cinestill CS41"/>
    <s v="Self - Epson V550"/>
    <m/>
    <m/>
    <s v="Couple photos out of focus. Very grainy"/>
    <s v="Cinestill"/>
    <s v="800T"/>
    <s v="120 - 645"/>
    <s v="Push - 1"/>
    <x v="3"/>
    <s v="Mamiya Sekor C 80mm f/1.9"/>
    <n v="3"/>
  </r>
  <r>
    <x v="31"/>
    <x v="29"/>
    <s v="Self - Cinestill DF96"/>
    <s v="Self - Epson V550"/>
    <s v="Developed at 3200 but not effective"/>
    <s v="last few shots are very grainy"/>
    <s v="Almost all photos out of focus. Everything under exposed"/>
    <s v="Ilford"/>
    <s v="Delta 3200"/>
    <s v="120 - 645"/>
    <s v="Push - 1"/>
    <x v="3"/>
    <s v="Mamiya Sekor C 80mm f/1.9"/>
    <n v="1"/>
  </r>
  <r>
    <x v="32"/>
    <x v="30"/>
    <s v="Self - Cinestill CS41"/>
    <s v="Self - Epson V550"/>
    <m/>
    <s v="Soft as shit scans"/>
    <m/>
    <s v="Kodak"/>
    <s v="Gold 200"/>
    <n v="135"/>
    <m/>
    <x v="4"/>
    <s v="Nikkor S-Auto 50mm f/1.4 &amp; Nikon AF 28mm f/2.8"/>
    <n v="1"/>
  </r>
  <r>
    <x v="33"/>
    <x v="31"/>
    <s v="Self - Cinestill CS41"/>
    <s v="Self - Epson V550"/>
    <m/>
    <m/>
    <s v="Rated at 640ish. Winter 2022 Studio shoot roll 2"/>
    <s v="Cinestill"/>
    <s v="800T"/>
    <s v="120 - 645"/>
    <m/>
    <x v="3"/>
    <s v="Mamiya Sekor C 80mm f/1.9"/>
    <n v="4"/>
  </r>
  <r>
    <x v="33"/>
    <x v="31"/>
    <s v="Self - Cinestill CS41"/>
    <s v="Self - Epson V550"/>
    <m/>
    <s v="Some tough to deal with green/yellow colours due to the intense lights"/>
    <s v="Rated at 640ish. Winter 2022 Studio shoot roll 1"/>
    <s v="Kodak"/>
    <s v="Portra 800"/>
    <s v="120 - 645"/>
    <m/>
    <x v="3"/>
    <s v="Mamiya Sekor C 80mm f/1.9"/>
    <n v="3"/>
  </r>
  <r>
    <x v="34"/>
    <x v="32"/>
    <s v="Lab - McBain"/>
    <s v="Lab - McBain"/>
    <m/>
    <m/>
    <s v="large vertical light leaks on right of frames. Large circular light leak on left of frame. Also had issue with the static and red lines going across some frames. All light leaks are bright red"/>
    <s v="Vibe"/>
    <s v="Max 800"/>
    <n v="135"/>
    <m/>
    <x v="5"/>
    <s v="Built-in"/>
    <n v="3"/>
  </r>
  <r>
    <x v="35"/>
    <x v="33"/>
    <s v="Self - Cinestill CS41"/>
    <s v="Self - Epson V550"/>
    <m/>
    <m/>
    <s v="Had to reload the roll since the camera didn't detect it the first time so 2 shots are missing from light leaks"/>
    <s v="Cinestill"/>
    <s v="800T"/>
    <s v="120 - 645"/>
    <m/>
    <x v="6"/>
    <s v="Built-in"/>
    <n v="3"/>
  </r>
  <r>
    <x v="36"/>
    <x v="34"/>
    <s v="Self - Cinestill CS41"/>
    <s v="Self - PrimeFilm 7250u"/>
    <m/>
    <s v="Bad cutting occasionally. Primefilm scanner does a good job of pulling out detail and removing dust/scratches"/>
    <s v="Red Light leaks like from vibe 800 roll in the same camera"/>
    <s v="Vibe"/>
    <s v="Photo 400"/>
    <n v="135"/>
    <m/>
    <x v="5"/>
    <s v="Built-in"/>
    <n v="3"/>
  </r>
  <r>
    <x v="37"/>
    <x v="35"/>
    <s v="Self - Cinestill CS41"/>
    <s v="Self - Epson V550"/>
    <s v="Had a hard time drying with lots of water spots on it. Might be due to temp it was washed at"/>
    <m/>
    <s v="Shots with flash turned out pretty great. Overall very good camera"/>
    <s v="Kodak"/>
    <s v="Gold 200"/>
    <s v="120 - 645"/>
    <m/>
    <x v="6"/>
    <s v="Built-in"/>
    <n v="4"/>
  </r>
  <r>
    <x v="38"/>
    <x v="36"/>
    <s v="Self - Ilford DD-X"/>
    <s v="Self - Epson V550"/>
    <s v="Pushed 1ish stop so developed for 13 mins, fixed for 3"/>
    <m/>
    <s v="Dark lines across almost entire roll from camera during loading process most likely. Light leaks on first frame"/>
    <s v="FPP"/>
    <s v="Mummy"/>
    <s v="120 - 6x6"/>
    <s v="Push - 1"/>
    <x v="2"/>
    <s v="Built-in"/>
    <n v="1"/>
  </r>
  <r>
    <x v="39"/>
    <x v="37"/>
    <s v="Self - Ilford DD-X"/>
    <s v="Self - Epson V550"/>
    <s v="Pushed 2 stops so developed for 13 mins with regular agitation"/>
    <m/>
    <s v="haha I want this camera and lens"/>
    <s v="Ilford"/>
    <s v="HP5+"/>
    <s v="120 - 6x7"/>
    <s v="Push - 2"/>
    <x v="7"/>
    <s v="Bronica PG 65mm F/4"/>
    <n v="2"/>
  </r>
  <r>
    <x v="40"/>
    <x v="38"/>
    <s v="Self - Ilford DD-X"/>
    <s v="Self - PrimeFilm 7250u"/>
    <s v="Developed for 9.5 mins and fixed for 3 mins. Negative density looks good and only a few frames were lost. Was Impatient so dust will probably be an issue "/>
    <s v="shot 14 was a missfire and blank frame so no scan for that one"/>
    <s v="Shot roll mostly around 2000 iso. Opened back before film was rewound so :)"/>
    <s v="Ilford"/>
    <s v="Delta 3200"/>
    <n v="135"/>
    <m/>
    <x v="4"/>
    <s v="Nikkor AI 50mm f/1.8 Pancake &amp; Nikon AF 28mm f/2.8"/>
    <m/>
  </r>
  <r>
    <x v="41"/>
    <x v="39"/>
    <s v="Self - Ilford DD-X"/>
    <s v="Self - Epson V550 "/>
    <s v="Developed for 10 mins at 24C with 1+4 dilution, fixed for 3 mins. Negatives were a touch thin"/>
    <m/>
    <m/>
    <s v="Ilford"/>
    <s v="HP5+"/>
    <s v="120 - 6x6"/>
    <s v="Push - 2"/>
    <x v="8"/>
    <s v="Built-in"/>
    <m/>
  </r>
  <r>
    <x v="42"/>
    <x v="40"/>
    <s v="Self - Ilford DD-X"/>
    <s v="Self - Epson V550"/>
    <s v="Developed for 11.5 mins in 1+4 dilution and fixed for 3 mins. Results were perfect"/>
    <s v="scanned in just a touch over exposed when converted"/>
    <s v="Shot at ISO 640"/>
    <s v="Cinestill"/>
    <s v="BWXX"/>
    <s v="120 - 645"/>
    <s v="Push - 2"/>
    <x v="6"/>
    <s v="Built-in"/>
    <n v="3"/>
  </r>
  <r>
    <x v="42"/>
    <x v="35"/>
    <s v="Self - Cinestill CS41"/>
    <s v="Self - Epson V550"/>
    <m/>
    <s v="Tough asf to scan with lots of color noise"/>
    <s v="Shot at 100 ISO"/>
    <s v="Whatevergraphy"/>
    <s v="RetroChrome 320"/>
    <s v="120 - 645"/>
    <m/>
    <x v="3"/>
    <s v="Mamiya Sekor C 80mm f/1.9"/>
    <n v="2"/>
  </r>
  <r>
    <x v="43"/>
    <x v="41"/>
    <s v="Self - Cinestill CS41"/>
    <s v="Self - Epson V550"/>
    <s v="Pretty strong magenta cast"/>
    <m/>
    <s v="Kendra &amp; Mary roll 1, a lot were out of focus :( even the ones shot at f2.8 or f4"/>
    <s v="Kodak"/>
    <s v="Portra 400"/>
    <s v="120 - 645"/>
    <m/>
    <x v="3"/>
    <s v="Mamiya Sekor C 80mm f/1.9"/>
    <n v="3"/>
  </r>
  <r>
    <x v="43"/>
    <x v="41"/>
    <s v="Self - Ilford DD-X"/>
    <s v="Self - Epson V550"/>
    <s v="Developed for 12.5 mins at 24C. Fairly grainy but exposure ended up good"/>
    <s v="Great "/>
    <s v="Kendra &amp; Mary roll 2. less issues with focus on this one???"/>
    <s v="Ilford"/>
    <s v="HP5+"/>
    <s v="120 - 645"/>
    <s v="Push - 2"/>
    <x v="3"/>
    <s v="Mamiya Sekor C 80mm f/1.9"/>
    <m/>
  </r>
  <r>
    <x v="44"/>
    <x v="42"/>
    <s v="Self - Cinestill CS41"/>
    <s v="Self - Epson V550"/>
    <s v="Water settled on negatives even after using photoflo. Scratches on some negatives"/>
    <m/>
    <s v="Karola &amp; Abhi roll 1. focus pretty much perfect, shots look amazing"/>
    <s v="Kodak"/>
    <s v="Gold 200"/>
    <s v="120 - 645"/>
    <m/>
    <x v="3"/>
    <s v="Mamiya Sekor C 80mm f/1.9"/>
    <n v="4"/>
  </r>
  <r>
    <x v="44"/>
    <x v="42"/>
    <s v="Self - Ilford DD-X"/>
    <s v="Self - Epson V550"/>
    <s v="Developed for 11 mins. Fixed for 3.5. grain is pretty heavy but exposures seem mostly fine, if not a little too hot"/>
    <m/>
    <s v="Karola &amp; Abhi roll 2. Sharp asf for the most part. No need to worry about this camera lol"/>
    <s v="Ilford"/>
    <s v="Delta 400"/>
    <s v="120 - 645"/>
    <s v="Push - 1"/>
    <x v="3"/>
    <s v="Mamiya Sekor C 80mm f/1.9"/>
    <n v="3"/>
  </r>
  <r>
    <x v="45"/>
    <x v="43"/>
    <s v="Self - Cinestill CS41"/>
    <s v="Self - Epson V550"/>
    <s v="Negatives quite thin"/>
    <m/>
    <s v="Might have set exposure compensation wrong"/>
    <s v="Ilford"/>
    <s v="XP2 Super"/>
    <s v="120 - 6x7"/>
    <s v="Push - 1"/>
    <x v="7"/>
    <s v="Bronica PG 100mm f/3.5"/>
    <n v="1"/>
  </r>
  <r>
    <x v="46"/>
    <x v="44"/>
    <s v="Self - Ilford DD-X"/>
    <s v="Self - PrimeFilm 7250u"/>
    <s v="Negatives look good. Developed for 13.5 mins, fixed with new rapid fix for 3 mins"/>
    <s v="Scans coming in hella grainy"/>
    <s v="Looking at negatives there seems to slight frame spacing issues with a couple frames overlapping"/>
    <s v="FPP"/>
    <s v="Mummy"/>
    <n v="135"/>
    <m/>
    <x v="0"/>
    <s v="Nikkor AI 50mm f/1.8 Pancake"/>
    <n v="3"/>
  </r>
  <r>
    <x v="47"/>
    <x v="45"/>
    <s v="Self - Rodinal"/>
    <s v="Self - Epson V700"/>
    <s v="Developed for 6 mins at 1+25 at around 24 degrees. Density looks good."/>
    <s v="A bit more grainy than I'd expect for HP5, might be because of higher temp. Or because of xray fogging"/>
    <s v="Steph at Linda's home studio roll 1. Yashica test roll"/>
    <s v="Ilford"/>
    <s v="HP5+"/>
    <s v="120 - 6x6"/>
    <m/>
    <x v="8"/>
    <s v="Built-in"/>
    <m/>
  </r>
  <r>
    <x v="48"/>
    <x v="46"/>
    <s v="Self - Cinestill CS41"/>
    <s v="Self - PrimeFilm 7250u"/>
    <s v="Developed in relatively exhausted developer for 7 mins "/>
    <s v="most shots seem very underexposed"/>
    <s v="Last frame overlapped"/>
    <s v="Vibe"/>
    <s v="Photo 400"/>
    <n v="135"/>
    <s v="Push - 2"/>
    <x v="0"/>
    <s v="Nikkor AI 50mm f/1.8 Pancake &amp; Nikkor 28mm f/3.5 &amp; Nikkor Auto-P 105mm f/2.5"/>
    <n v="1"/>
  </r>
  <r>
    <x v="49"/>
    <x v="47"/>
    <s v="Lab - Studio Argentique"/>
    <s v="Lab - Studio Argentique"/>
    <m/>
    <s v="red as fuuuuck"/>
    <m/>
    <s v="Flicfilm"/>
    <s v="Elektra"/>
    <n v="135"/>
    <m/>
    <x v="0"/>
    <s v="Nikkor AI 50mm f/1.8 &amp; Nikkor 28mm f/3.5 "/>
    <n v="2"/>
  </r>
  <r>
    <x v="50"/>
    <x v="48"/>
    <s v="Self - Ilford DD-X"/>
    <s v="Self - PrimeFilm 7250u"/>
    <s v="Developed for 13 mins, fixed for 3 mins. Negative density looks good"/>
    <m/>
    <s v="Pandas v Macewan volleyball game + extras"/>
    <s v="Ilford"/>
    <s v="HP5+"/>
    <n v="135"/>
    <s v="Push - 2"/>
    <x v="4"/>
    <s v="Nikkor 28mm f/3.5 &amp; Nikon 85mm f1.8 AF-D"/>
    <m/>
  </r>
  <r>
    <x v="51"/>
    <x v="49"/>
    <s v="Lab - Studio Argentique"/>
    <s v="Self - Epson V550"/>
    <m/>
    <s v="Pretty dusty"/>
    <s v="Shots look good tho"/>
    <s v="Kodak"/>
    <s v="Gold 200"/>
    <s v="120 - 645"/>
    <m/>
    <x v="6"/>
    <s v="Built-in"/>
    <m/>
  </r>
  <r>
    <x v="52"/>
    <x v="50"/>
    <s v="Self - Ilford DD-X"/>
    <s v="Self - PrimeFilm 7250u"/>
    <s v="Developed for 11.5 mins in 1+4 dilution and fixed for 3 mins. Results more grainy than 120 but still good density"/>
    <s v="Mashallah"/>
    <s v="Shots overall look good with decent exposure"/>
    <s v="Cinestill"/>
    <s v="BWXX"/>
    <n v="135"/>
    <s v="Push - 2"/>
    <x v="0"/>
    <s v="Nikkor 28mm f/3.5 &amp; Nikon AI 50mm f/1.8 Pancake"/>
    <n v="3"/>
  </r>
  <r>
    <x v="53"/>
    <x v="51"/>
    <s v="Lab - Studio Argentique"/>
    <s v="Lab - Studio Argentique"/>
    <m/>
    <s v="Scans are fucking beautiful"/>
    <s v="missed focus in some. Bracketed first few shots and iso 100 is where it's at. And wow. I love this. Although I must've messed up metering or settings on the last few shots of the roll coz they are pretty underexposed"/>
    <s v="Kodak"/>
    <s v="Ektachrome E100 SW"/>
    <s v="120 - 645"/>
    <m/>
    <x v="6"/>
    <s v="Built-in"/>
    <n v="4"/>
  </r>
  <r>
    <x v="54"/>
    <x v="50"/>
    <s v="Lab - McBain"/>
    <s v="Lab - McBain"/>
    <m/>
    <s v="Rescanned myself and we got some good ones"/>
    <s v="Kinda mid on my part tbh."/>
    <s v="Kodak"/>
    <s v="Portra 800"/>
    <n v="135"/>
    <m/>
    <x v="0"/>
    <s v="Nikon AI 50mm f/1.8 Pancake"/>
    <n v="3"/>
  </r>
  <r>
    <x v="55"/>
    <x v="52"/>
    <s v="Self - Unicolor C41 Kit"/>
    <s v="Self - Epson V550"/>
    <s v="New batch of chemicals seems solid"/>
    <m/>
    <s v="Roll was wound pretty loose when I unloaded it so there are slight light leaks at the edges. Also looks like focus missed on a fair few shots"/>
    <s v="Lomography"/>
    <s v="Color Negative 100"/>
    <s v="120 - 645"/>
    <m/>
    <x v="6"/>
    <s v="Built-in"/>
    <n v="2"/>
  </r>
  <r>
    <x v="56"/>
    <x v="53"/>
    <s v="Self - Ilford DD-X"/>
    <s v="Self - PrimeFilm 7250u"/>
    <s v="Developed for 8 mins in DD-X at 20C 1+4 dilution. Fixed for 3 mins. Negative density looks good"/>
    <s v="Impossible to remove water spots"/>
    <s v=" "/>
    <s v="Flicfilm"/>
    <s v="Ultrapan 100"/>
    <n v="135"/>
    <m/>
    <x v="5"/>
    <s v="Built-in"/>
    <n v="2"/>
  </r>
  <r>
    <x v="57"/>
    <x v="54"/>
    <s v="Self - Unicolor C41 Kit"/>
    <s v="Self - Epson V550"/>
    <s v="Used a drop of the cinestill stabilizer after and we have less drying spots now. Overall development in terms of negative density and colours looks good"/>
    <s v="Finally some sharp fucking scans"/>
    <s v="1st shot was on double exposure, unloaded the roll to check it out thinking it was another issue. Had to skip first 5 or so frames. I'm an idiot and set thr shutter speed to 1/125 when the max sync speed is 1/60 on the mamiya"/>
    <s v="Fujifilm"/>
    <s v="Pro 400H"/>
    <s v="120 - 645"/>
    <m/>
    <x v="3"/>
    <s v="Mamiya Sekor C 80mm f/1.9 &amp; 45mm f/2.8"/>
    <m/>
  </r>
  <r>
    <x v="58"/>
    <x v="55"/>
    <s v="Self - Unicolor C41 Kit"/>
    <s v="Self - Epson V550"/>
    <s v="Hey kids, don't buy natural spring water thinking it's distilled water otherwise u get water spots"/>
    <m/>
    <m/>
    <s v="Kodak"/>
    <s v="Gold 200"/>
    <s v="120 - 645"/>
    <m/>
    <x v="3"/>
    <s v="Mamiya Sekor C 80mm f/1.9"/>
    <n v="3"/>
  </r>
  <r>
    <x v="59"/>
    <x v="56"/>
    <s v="Self - Unicolor C41 Kit"/>
    <s v="Self - PrimeFilm 7250u"/>
    <s v="Comedy of errors from film loading to timing blix… well it was only 2 errors but still. Not enough stab or photoflo in distilled water, a few water stops as well"/>
    <s v="I forgot how much I hated this (scanning that is) Looks like superia tho so that's good"/>
    <s v="2 shots messed up because flash trigger didn't fire"/>
    <s v="Fujifilm"/>
    <s v="Superia 400"/>
    <n v="135"/>
    <m/>
    <x v="0"/>
    <s v="Nikkor 28mm f/3.5"/>
    <m/>
  </r>
  <r>
    <x v="60"/>
    <x v="57"/>
    <s v="Self - Unicolor C41 Kit"/>
    <s v="Self - Epson V550"/>
    <s v="Developed for 4 mins 30 secs. Density is a little thin but overall it looks like cinestill"/>
    <s v="most shots coming in pretty underexposed"/>
    <s v="Mary portrait shoot at NAIT. We do be struggling with focus. Shot #2 is our best of the year tho"/>
    <s v="Cinestill"/>
    <s v="800T"/>
    <s v="120 - 645"/>
    <s v="Push - 1"/>
    <x v="3"/>
    <s v="Mamiya Sekor C 80mm f/1.9 &amp; 45mm f/2.8"/>
    <n v="3"/>
  </r>
  <r>
    <x v="61"/>
    <x v="58"/>
    <s v="Self - Ilford DD-X"/>
    <s v="Self - Epson V550"/>
    <s v="Developed for 7 mins, fixed for 3.5 mins. Density looks good"/>
    <s v="scans are perfection"/>
    <s v="Void Studios shoot roll 1. Hardly any focus issues. Mostly good exposure considering most were done with flash"/>
    <s v="Kodak"/>
    <s v="TMax 100"/>
    <s v="120 - 645"/>
    <m/>
    <x v="3"/>
    <s v="Mamiya Sekor C 80mm f/1.9 &amp; 45mm f/2.8"/>
    <m/>
  </r>
  <r>
    <x v="61"/>
    <x v="58"/>
    <s v="Self - Unicolor C41 Kit"/>
    <s v="Self - Epson V550"/>
    <s v="Density looking great. I kinda like this film a lot"/>
    <m/>
    <s v="Void Studios shoot roll 2. Sharpness is good. Colors are awesome"/>
    <s v="Fujifilm"/>
    <s v="Pro 400H"/>
    <s v="120 - 645"/>
    <m/>
    <x v="3"/>
    <s v="Mamiya Sekor C 80mm f/1.9"/>
    <n v="4"/>
  </r>
  <r>
    <x v="62"/>
    <x v="59"/>
    <s v="Self - Unicolor C41 Kit"/>
    <s v="Self - Epson V550"/>
    <s v="Light leaks towards the end of the roll"/>
    <m/>
    <m/>
    <s v="Kodak"/>
    <s v="Portra 800"/>
    <s v="120 - 645"/>
    <m/>
    <x v="3"/>
    <s v="Mamiya Sekor C 80mm f/1.9"/>
    <n v="3"/>
  </r>
  <r>
    <x v="63"/>
    <x v="60"/>
    <s v="Self - Ilford DD-X"/>
    <s v="Self - OpticFilm 7600i"/>
    <s v="Developed for 11.5 mins, fixed for 5 mins"/>
    <s v="maybe slightly under exposed"/>
    <m/>
    <s v="FPP"/>
    <s v="XX"/>
    <n v="135"/>
    <s v="Push - 2"/>
    <x v="9"/>
    <m/>
    <m/>
  </r>
  <r>
    <x v="64"/>
    <x v="61"/>
    <s v="Self - Ilford DD-X"/>
    <s v="Self - Epson V550"/>
    <s v="Shot at 200 ISO so developed for 12 mins in ddx and fixed for 3 mins"/>
    <m/>
    <s v="Focus is questionable"/>
    <s v="Ilford"/>
    <s v="FP4+"/>
    <s v="120 - 6x6"/>
    <m/>
    <x v="8"/>
    <s v="Built-in"/>
    <n v="2"/>
  </r>
  <r>
    <x v="65"/>
    <x v="62"/>
    <s v="Self - Ilford DD-X"/>
    <s v="Self - Epson V550"/>
    <s v="Developed for 13 mins, fixed for 3 mins"/>
    <m/>
    <s v="Some light leaks on the frame edges coz I'm bad at loading that camera"/>
    <s v="Ilford"/>
    <s v="HP5+"/>
    <s v="120 - 6x6"/>
    <s v="Push - 2"/>
    <x v="8"/>
    <s v="Built-in"/>
    <n v="2"/>
  </r>
  <r>
    <x v="66"/>
    <x v="62"/>
    <s v="Self - Ilford DD-X"/>
    <s v="Self - Epson V550"/>
    <s v="Developed for 7.5 mins, fixed for 3.5 mins. Density looks good"/>
    <m/>
    <s v="Chill shoot on campus with Vi"/>
    <s v="Cinestill"/>
    <s v="BWXX"/>
    <s v="120 - 6x6"/>
    <m/>
    <x v="8"/>
    <s v="Built-in"/>
    <n v="4"/>
  </r>
  <r>
    <x v="67"/>
    <x v="63"/>
    <s v="Self - Ilford DD-X"/>
    <s v="Self - Epson V550"/>
    <s v="Developed for 9 mins, fixed for 4. A little too grainy for my liking, potentially over developed"/>
    <m/>
    <s v="Shaun and Owen shoot. Focus is mostly fine, although outdoor shots were definetely overexposed a tad"/>
    <s v="Ilford"/>
    <s v="HP5+"/>
    <s v="120 - 645"/>
    <m/>
    <x v="3"/>
    <s v="Mamiya Sekor C 80mm f/1.9"/>
    <m/>
  </r>
  <r>
    <x v="68"/>
    <x v="64"/>
    <s v="Self - Ilford DD-X"/>
    <s v="Self - Epson V550"/>
    <s v="Developed for 7 mins, fixed for 3 mins. Density seems a little light"/>
    <s v="Dusty asf"/>
    <s v="Out of focus asf. All good. We learn"/>
    <s v="Kodak"/>
    <s v="TMax 100"/>
    <s v="120 - 6x6"/>
    <m/>
    <x v="8"/>
    <s v="Built-in"/>
    <m/>
  </r>
  <r>
    <x v="69"/>
    <x v="65"/>
    <s v="Self - Ilford DD-X"/>
    <s v="Self - OpticFilm 7600i"/>
    <s v="Developed for 9 mins fixed for 4 mins. Density looks good"/>
    <m/>
    <m/>
    <s v="Lomography"/>
    <s v="Earl Grey"/>
    <n v="135"/>
    <m/>
    <x v="0"/>
    <s v="Nikon AI 50mm f/1.8 Pancake"/>
    <m/>
  </r>
  <r>
    <x v="70"/>
    <x v="66"/>
    <s v="Self - Unicolor C41 Kit"/>
    <s v="Self - Epson V550"/>
    <s v="Slight color shifts. Did weird agitiation and the chemicals are old"/>
    <m/>
    <s v="Lydia roll 1"/>
    <s v="Kodak"/>
    <s v="Ektar 100"/>
    <s v="120 - 645"/>
    <m/>
    <x v="6"/>
    <s v="Built-in"/>
    <m/>
  </r>
  <r>
    <x v="70"/>
    <x v="66"/>
    <s v="Self - Unicolor C41 Kit"/>
    <s v="Self - Epson V550"/>
    <s v="Developed pretty good with about 15 extra seconds"/>
    <m/>
    <s v="Lydia roll 2"/>
    <s v="Ilford"/>
    <s v="XP2 Super"/>
    <s v="120 - 645"/>
    <m/>
    <x v="6"/>
    <s v="Built-in"/>
    <m/>
  </r>
  <r>
    <x v="71"/>
    <x v="67"/>
    <s v="Self - Ilford DD-X"/>
    <s v="Self - Epson V550"/>
    <s v="Developed for 7.5 mins fixed for 4 mins. Density good, and overall tonal range is what I was looking for"/>
    <m/>
    <s v="Reem Studio shoot with Shaun and Hery"/>
    <s v="Ilford"/>
    <s v="HP5+"/>
    <s v="120 - 6x6"/>
    <s v="Pull - 1"/>
    <x v="8"/>
    <s v="Built-in"/>
    <m/>
  </r>
  <r>
    <x v="72"/>
    <x v="68"/>
    <s v="Self - Unicolor C41 Kit"/>
    <s v="Self - OpticFilm 7600i"/>
    <s v="Developed for 3:45, fixed for 6:30. wetted film squegee in photo flo solution and dragged down slowly. No issues now"/>
    <m/>
    <m/>
    <s v="Kodak"/>
    <s v="Gold 200"/>
    <n v="135"/>
    <m/>
    <x v="0"/>
    <s v="Nikon AI 50mm f/1.8 Pancake &amp; Nikkor 28mm f/3.5"/>
    <m/>
  </r>
  <r>
    <x v="73"/>
    <x v="69"/>
    <s v="Self - Unicolor C41 Kit"/>
    <s v="Self - OpticFilm 7600i"/>
    <s v="Developed for 3:45, fixed for 6:30. wetted film squegee in photo flo solution and dragged down slowly. No issues now"/>
    <s v="some weird yellow lines at seemingly random spots on negatives. Might have to do with scanning settings"/>
    <m/>
    <s v="Kodak"/>
    <s v="Gold 200"/>
    <n v="135"/>
    <m/>
    <x v="0"/>
    <s v="Nikon AI 50mm f/1.8 Pancake &amp; Nikkor 28mm f/3.5"/>
    <m/>
  </r>
  <r>
    <x v="74"/>
    <x v="70"/>
    <s v="Self - Ilford DD-X"/>
    <s v="Self - Epson V550 "/>
    <s v="Developed for 8 mins in DD-X at 20C 1+4 dilution. Fixed for 4 mins. Negative density is a little thin"/>
    <s v="Put masking tape on 120 ANR glass and stuck the negative to it to scan both halves"/>
    <s v="Self portraits - 4x5 Test sheets using film holder A - Shot using flash at f/16 1/100s, rated at 320"/>
    <s v="Kodak"/>
    <s v="TMax 400"/>
    <s v="4x5"/>
    <m/>
    <x v="10"/>
    <s v="Schneider-Kreuznach Symmar-S 210mm f/5.6 "/>
    <m/>
  </r>
  <r>
    <x v="75"/>
    <x v="71"/>
    <s v="Self - Ilford DD-X"/>
    <s v="Self - OpticFilm 7600i"/>
    <s v="Develped for 9 mins, fixed for 4 mins"/>
    <m/>
    <s v="Nikon F4 Test roll. Camera works perfectly pretty much"/>
    <s v="Fujifilm"/>
    <s v="Neopan Acros II"/>
    <n v="135"/>
    <m/>
    <x v="9"/>
    <s v=" Nikkor 28mm f/3.5 &amp; Nikkor S-Auto 50mm f/1.4"/>
    <m/>
  </r>
  <r>
    <x v="76"/>
    <x v="69"/>
    <s v="Self - Unicolor C41 Kit"/>
    <s v="Self - Epson V550"/>
    <s v="Developed for 3:45 and negative density and colors turned out well"/>
    <m/>
    <m/>
    <s v="Kodak"/>
    <s v="Gold 200"/>
    <s v="120 - 6x6"/>
    <m/>
    <x v="8"/>
    <s v="Built-in"/>
    <n v="3"/>
  </r>
  <r>
    <x v="77"/>
    <x v="72"/>
    <s v="Self - Unicolor C41 Kit"/>
    <s v="Self - OpticFilm 7600i"/>
    <s v="Negative density looked good. Film base is a weird greenish though"/>
    <s v="Scans are hard to work with. Very grainy and colors are difficult to interpret"/>
    <m/>
    <s v="Orwo"/>
    <s v="Wolfen NC500"/>
    <n v="135"/>
    <m/>
    <x v="9"/>
    <s v="Nikon AI 50mm f/1.8 Pancake &amp; Nikkor 28mm f/3.5 &amp; AF-D Nikon 50mm f1.4"/>
    <m/>
  </r>
  <r>
    <x v="78"/>
    <x v="73"/>
    <s v="Self - Ilford DD-X"/>
    <s v="Self - Epson V550"/>
    <s v="Develped for 8 mins and fixed for 4 mins with sp445. seems to leak some chemistry when holding inverted but overall not bad"/>
    <m/>
    <s v="Still lifes of Yashica mat 124g and nikon fe and nikon f4 with mamiya 645 pro. Shot using flash, rated film at iso 200, 1/100s and f11. Shot in film holder C, no light leaks"/>
    <s v="Kodak"/>
    <s v="TMax 400"/>
    <s v="4x5"/>
    <m/>
    <x v="10"/>
    <s v="Schneider-Kreuznach Symmar-S 210mm f/5.6 "/>
    <m/>
  </r>
  <r>
    <x v="79"/>
    <x v="74"/>
    <s v="Self - Unicolor E6 Kit"/>
    <s v="Self - Epson V550"/>
    <s v="Density and colors look great against the light"/>
    <m/>
    <s v="Vi dogpark roll 1. Rated at 80iso"/>
    <s v="Kodak"/>
    <s v="Ektachrome E100"/>
    <s v="120 - 645"/>
    <m/>
    <x v="3"/>
    <s v="Mamiya Sekor C 45mm f/2.8"/>
    <m/>
  </r>
  <r>
    <x v="79"/>
    <x v="74"/>
    <s v="Self - Ilford DD-X"/>
    <s v="Self - Epson V550"/>
    <s v="Developed for 10 mins fixed for 4.5. Contrast is a little higher than what I was expecting"/>
    <m/>
    <s v="Vi dogpark roll 2. rated at 800"/>
    <s v="Ilford"/>
    <s v="HP5+"/>
    <s v="120 - 645"/>
    <s v="Push - 1"/>
    <x v="3"/>
    <s v="Mamiya Sekor C 45mm f/2.8"/>
    <m/>
  </r>
  <r>
    <x v="80"/>
    <x v="75"/>
    <s v="Self - Unicolor C41 Kit"/>
    <s v="Self - OpticFilm 7600i"/>
    <s v="Developed with the roll of wolfen NC500 and yiiikes. Either light leaks, or something on most of the frames and the colors aint right at all"/>
    <m/>
    <m/>
    <s v="Vibe"/>
    <s v="Photo 400"/>
    <n v="135"/>
    <m/>
    <x v="9"/>
    <s v="Nikkor 28mm f/3.5 &amp; AF-D Nikon 50mm f1.4"/>
    <m/>
  </r>
  <r>
    <x v="81"/>
    <x v="76"/>
    <s v="Self - Ilford DD-X"/>
    <s v="Self - OpticFilm 7600i"/>
    <s v="Developed for 10 mins fixed for 4.5. Grain is very high"/>
    <m/>
    <m/>
    <s v="Lomography"/>
    <s v="Earl Grey"/>
    <n v="135"/>
    <m/>
    <x v="9"/>
    <s v="Nikkor 28mm f/3.5 &amp; AF-D Nikon 50mm f1.4"/>
    <m/>
  </r>
  <r>
    <x v="82"/>
    <x v="77"/>
    <s v="Self - Unicolor C41 Kit"/>
    <s v="Self - Epson V550"/>
    <m/>
    <m/>
    <s v="Alliyah, Manchester square roll 1. used back with red tag on the back. No light leaks, and everything looks good"/>
    <s v="Kodak"/>
    <s v="Ektar 100"/>
    <s v="120 - 645"/>
    <m/>
    <x v="3"/>
    <s v="Mamiya Sekor C 45mm f/2.8 &amp; Mamiya Sekor C 80mm f/1.9"/>
    <m/>
  </r>
  <r>
    <x v="82"/>
    <x v="77"/>
    <s v="Self - Unicolor C41 Kit"/>
    <s v="Self - Epson V550"/>
    <m/>
    <m/>
    <s v="Alliyah, Manchester square roll 2"/>
    <s v="Kodak"/>
    <s v="Gold 200"/>
    <s v="120 - 645"/>
    <m/>
    <x v="3"/>
    <s v="Mamiya Sekor C 45mm f/2.8 &amp; Mamiya Sekor C 80mm f/1.9"/>
    <m/>
  </r>
  <r>
    <x v="83"/>
    <x v="78"/>
    <s v="Self - Unicolor C41 Kit"/>
    <s v="Self - Epson V550"/>
    <s v="Loaded film on spool rough, some crinkles across the roll"/>
    <m/>
    <s v="Andrea &amp; Yang penthouse. Missed the start mark on the camera when loading, some frame spacing is off"/>
    <s v="Kodak"/>
    <s v="Portra 800"/>
    <s v="120 - 645"/>
    <m/>
    <x v="8"/>
    <s v="Built-in"/>
    <m/>
  </r>
  <r>
    <x v="84"/>
    <x v="79"/>
    <s v="Self - Unicolor C41 Kit"/>
    <s v="Self - Epson V550"/>
    <m/>
    <m/>
    <s v="Mary and Hery shoot + Alex and Karola shoot"/>
    <s v="Kodak"/>
    <s v="Portra 800"/>
    <s v="120 - 6x6"/>
    <m/>
    <x v="8"/>
    <s v="Built-in"/>
    <m/>
  </r>
  <r>
    <x v="85"/>
    <x v="76"/>
    <s v="Lab - McBain"/>
    <s v="Lab - McBain"/>
    <s v="Colors and grain out of ultramax arent that bad"/>
    <m/>
    <m/>
    <s v="Kodak"/>
    <s v="UltraMax 400"/>
    <n v="135"/>
    <m/>
    <x v="9"/>
    <s v="Nikkor 28mm f/3.5 &amp; AF-D Nikon 50mm f1.4"/>
    <m/>
  </r>
  <r>
    <x v="86"/>
    <x v="79"/>
    <s v="Self - Ilford DD-X"/>
    <s v="Self - Epson V550"/>
    <s v="Developed on 1 reel with other roll of HP5 for 10.5 mins and fixed for 4.5 mins"/>
    <m/>
    <s v="Alex + Karola shoot"/>
    <s v="Ilford"/>
    <s v="HP5+"/>
    <s v="120 - 6x6"/>
    <s v="Push - 2"/>
    <x v="8"/>
    <s v="Built-in"/>
    <m/>
  </r>
  <r>
    <x v="87"/>
    <x v="80"/>
    <s v="Lab - McBain"/>
    <s v="Lab - McBain"/>
    <m/>
    <m/>
    <s v="Shot at ISO 160"/>
    <s v="Kodak"/>
    <s v="Max GC 400"/>
    <n v="135"/>
    <m/>
    <x v="0"/>
    <s v="Nikkor 28mm f/3.5 &amp; AF-D Nikon 50mm f1.4"/>
    <m/>
  </r>
  <r>
    <x v="87"/>
    <x v="81"/>
    <s v="Self - Ilford DD-X"/>
    <s v="Self - Epson V550"/>
    <s v="Developed on 1 reel with other roll of HP5 for 10.5 mins and fixed for 4.5 mins"/>
    <m/>
    <s v="Test roll - first  6 frames missing. Potentially issue with leaf shutter lens?"/>
    <s v="Ilford"/>
    <s v="HP5+"/>
    <s v="120 - 6x7"/>
    <s v="Push - 1"/>
    <x v="11"/>
    <s v="SMC Pentax 67 90mm f/2.8 LS"/>
    <m/>
  </r>
  <r>
    <x v="88"/>
    <x v="82"/>
    <s v="Self - Unicolor E6 Kit"/>
    <m/>
    <m/>
    <s v="Did not scan as slides are too faint to do anything with. Will have to cross process rest of these rolls"/>
    <s v="Rated at 320 ISO for E6 Development"/>
    <s v="Whatevergraphy"/>
    <s v="RetroChrome 320"/>
    <s v="120 - 645"/>
    <m/>
    <x v="6"/>
    <s v="Built-in"/>
    <m/>
  </r>
  <r>
    <x v="88"/>
    <x v="82"/>
    <s v="Self - Unicolor E6 Kit"/>
    <s v="Self - Epson V550"/>
    <s v="Density was good, appeared to be some brown streaking from chemistry in the sky but overall not a bad turnout"/>
    <m/>
    <s v="Loaded in film holder C  - Shot with Jonathan at the muttart conservatory"/>
    <s v="Kodak"/>
    <s v="Ektachrome E100"/>
    <s v="4x5"/>
    <m/>
    <x v="10"/>
    <s v="Schneider-Kreuznach Symmar-S 210mm f/5.6 "/>
    <m/>
  </r>
  <r>
    <x v="88"/>
    <x v="82"/>
    <s v="Self - Ilford DD-X"/>
    <s v="Self - Epson V550"/>
    <s v="Developed for 8 mins and fixed for 4 mins in rapid fix"/>
    <m/>
    <s v="Loaded in film holder A -  Shot with Jonathan at the muttart conservatory. Rated at ISO 200. Accidentally left shutter open on first shot so 1 is very over exposed but 2 is fine"/>
    <s v="Kodak"/>
    <s v="TMax 400"/>
    <s v="4x5"/>
    <m/>
    <x v="10"/>
    <s v="Schneider-Kreuznach Symmar-S 210mm f/5.6 "/>
    <m/>
  </r>
  <r>
    <x v="88"/>
    <x v="82"/>
    <s v="Self - Ilford DD-X"/>
    <s v="Self - Epson V550"/>
    <s v="Developed for 8 mins and fixed for 4 mins in rapid fix"/>
    <m/>
    <s v="Loaded in film holder B - No . Shot with Jonathan at the muttart conservatory. Rated it ISO 200"/>
    <s v="Kodak"/>
    <s v="TMax 400"/>
    <s v="4x5"/>
    <m/>
    <x v="10"/>
    <s v="Schneider-Kreuznach Symmar-S 210mm f/5.6 "/>
    <m/>
  </r>
  <r>
    <x v="89"/>
    <x v="81"/>
    <s v="Self - Unicolor C41 Kit"/>
    <s v="Self - Epson V550"/>
    <m/>
    <s v="Scans are really really goood. I kinda want this camera"/>
    <s v="Portrait test shoot with Maddie. Messed up loading so there are only 9 shots instead of 10"/>
    <s v="Kodak"/>
    <s v="Gold 200"/>
    <s v="120 - 6x7"/>
    <m/>
    <x v="11"/>
    <s v="SMC Pentax 67 90mm f/2.8 LS"/>
    <m/>
  </r>
  <r>
    <x v="90"/>
    <x v="80"/>
    <s v="Lab - McBain"/>
    <s v="Lab - McBain"/>
    <m/>
    <m/>
    <s v="Bracketed first shots from 800 to 200, and shot rest of roll at 160"/>
    <s v="Presidents Choice"/>
    <n v="800"/>
    <n v="135"/>
    <m/>
    <x v="0"/>
    <s v="Nikkor 28mm f/3.5 &amp; AF-D Nikon 50mm f1.4"/>
    <m/>
  </r>
  <r>
    <x v="91"/>
    <x v="83"/>
    <s v="Self - Ilford DD-X"/>
    <s v="Self - OpticFilm 7600i"/>
    <s v="Developed for 11.5 mins, fixed for 5 mins"/>
    <m/>
    <m/>
    <s v="Cinestill"/>
    <s v="BWXX"/>
    <n v="135"/>
    <s v="Push - 2"/>
    <x v="9"/>
    <m/>
    <m/>
  </r>
  <r>
    <x v="92"/>
    <x v="84"/>
    <s v="Self - Ilford DD-X"/>
    <s v="Self - Epson V550"/>
    <s v="developed for 9 mins, fixed for 4 mins. Pretty thin negatives. Maybe under developed"/>
    <s v="skipped out on scannig about 2 frames in the middle since they are basically unseeable"/>
    <m/>
    <s v="Foma"/>
    <s v="Fomapan 400"/>
    <s v="120 - 6x6"/>
    <m/>
    <x v="8"/>
    <s v="Built-in"/>
    <m/>
  </r>
  <r>
    <x v="93"/>
    <x v="85"/>
    <s v="Self - Unicolor C41 Kit"/>
    <s v="Self - Epson V700"/>
    <m/>
    <m/>
    <s v="Rural AB roll 1"/>
    <s v="Kodak"/>
    <s v="Ektar 100"/>
    <s v="120 - 645"/>
    <m/>
    <x v="6"/>
    <s v="Built-in"/>
    <m/>
  </r>
  <r>
    <x v="93"/>
    <x v="85"/>
    <s v="Self - Unicolor E6 Kit"/>
    <s v="Self - Epson V550"/>
    <s v="Still got a magenta cast. Might try blixing for longer"/>
    <m/>
    <s v="Rural AB roll 4"/>
    <s v="Kodak"/>
    <s v="Ektachrome E100 SW"/>
    <s v="120 - 645"/>
    <m/>
    <x v="6"/>
    <s v="Built-in"/>
    <m/>
  </r>
  <r>
    <x v="93"/>
    <x v="85"/>
    <s v="Lab - McBain"/>
    <s v="Lab - McBain"/>
    <m/>
    <m/>
    <s v="Rural AB roll 3"/>
    <s v="Cinestill"/>
    <s v="50D"/>
    <n v="135"/>
    <m/>
    <x v="0"/>
    <s v="Vivitar 28mm f/2.0 &amp; Nikon 50mm f/1.8 AI-S Pancake"/>
    <m/>
  </r>
  <r>
    <x v="93"/>
    <x v="85"/>
    <s v="Self - Ilford DD-X"/>
    <s v="Self - OpticFilm 7600i"/>
    <m/>
    <m/>
    <s v="Rural AB roll 2"/>
    <s v="Agfa"/>
    <s v="APX 100"/>
    <n v="135"/>
    <m/>
    <x v="0"/>
    <s v="Vivitar 28mm f/2.0 &amp; Nikon 50mm f/1.8 AI-S Pancake"/>
    <m/>
  </r>
  <r>
    <x v="94"/>
    <x v="86"/>
    <s v="Lab - McBain"/>
    <s v="Lab - McBain"/>
    <m/>
    <m/>
    <s v="Morzie &amp; Linda Shoot"/>
    <s v="Kodak"/>
    <s v="Portra 800"/>
    <n v="135"/>
    <m/>
    <x v="9"/>
    <s v="AF-D Nikon 50mm f/1.4"/>
    <m/>
  </r>
  <r>
    <x v="95"/>
    <x v="87"/>
    <s v="Self - Ilford DD-X"/>
    <s v="Self - OpticFilm 7600i"/>
    <s v="developed for 8 mins. Fixed for 5 mins"/>
    <s v="Grainy as fuuuuck"/>
    <s v="shot Shah, day to day and outdoor photos of kiran and moti wedding"/>
    <s v="Kodak"/>
    <s v="Tmax 400"/>
    <n v="135"/>
    <m/>
    <x v="9"/>
    <s v="AF-D Nikon 50mm f1.4"/>
    <m/>
  </r>
  <r>
    <x v="96"/>
    <x v="87"/>
    <s v="Self - Ilford DD-X"/>
    <s v="Self - OpticFilm 7600i"/>
    <s v="Developed for 12 mins fixed for 5"/>
    <s v="Perfection. Except I'm bad at shooting events. We got some keepers though"/>
    <s v="Kiran and Moti wedding roll 2"/>
    <s v="Ilford"/>
    <s v="HP5+"/>
    <n v="135"/>
    <s v="Push - 2"/>
    <x v="9"/>
    <s v="AF-D Nikon 50mm f1.4"/>
    <m/>
  </r>
  <r>
    <x v="96"/>
    <x v="87"/>
    <s v="Self - Ilford DD-X"/>
    <s v="Self - OpticFilm 7600i"/>
    <s v="Developed for 9 mins fixed for 5 mins. Density was just a tad thinner than I'd hope"/>
    <s v="Overall scans came in good"/>
    <s v="Kiran and Moti wedding roll 3- shot at 2000 ISO"/>
    <s v="Ilford"/>
    <s v="Delta 3200"/>
    <n v="135"/>
    <m/>
    <x v="9"/>
    <s v="AF-D Nikon 50mm f1.4"/>
    <m/>
  </r>
  <r>
    <x v="97"/>
    <x v="88"/>
    <s v="Self - Unicolor E6 Kit"/>
    <s v="Self - Epson V700"/>
    <s v="Developed in first developer for 7 mins, and blix'd for 7 mins too. Less magenta cast but it's definitely still there"/>
    <s v="Somewhat easier to correct than previous rolls"/>
    <s v="Mostly rated at ISO 80. Ones that had to be shot at ISO 100 due to lack of light def have more of a purple cast. Group portrait shoot with Karola and Chevaughn"/>
    <s v="Kodak"/>
    <s v="Ektachrome E100 SW"/>
    <s v="120 - 6x6"/>
    <m/>
    <x v="8"/>
    <s v="Built-in"/>
    <m/>
  </r>
  <r>
    <x v="97"/>
    <x v="88"/>
    <s v="Self - Unicolor C41 Kit"/>
    <s v="Self - Epson V700"/>
    <s v="High amount of base fog tbh. Will be interesting to see how it scans"/>
    <m/>
    <s v="Rated at 400 mostly. Group Portrait shoot with Karola and Chevaughn"/>
    <s v="Fujifilm"/>
    <s v="NPZ 800Z"/>
    <s v="120 - 6x6"/>
    <m/>
    <x v="8"/>
    <s v="Built-in"/>
    <m/>
  </r>
  <r>
    <x v="98"/>
    <x v="89"/>
    <s v="Self - Unicolor C41 Kit"/>
    <s v="Self - OpticFilm 7600i"/>
    <m/>
    <s v="Base fog is horrible. Most cursed roll I've ever scanned. Probably nothing good on here"/>
    <s v="Expired Superia 200. rated first half of roll at 160, second half will be at 100"/>
    <s v="Fujifilm"/>
    <s v="Superia 200"/>
    <n v="135"/>
    <m/>
    <x v="0"/>
    <s v="Nikkor 28mm f/2.8 AI-S"/>
    <m/>
  </r>
  <r>
    <x v="99"/>
    <x v="90"/>
    <s v="Self - Unicolor C41 Kit"/>
    <s v="Self - Epson V700"/>
    <m/>
    <s v="colors are a bit funky. Might've made a mistake during development"/>
    <s v="Morzie &amp; Linda Shoot in millwoods park"/>
    <s v="Kodak"/>
    <s v="Gold 200"/>
    <s v="120 - 645"/>
    <m/>
    <x v="6"/>
    <s v="Built-in"/>
    <m/>
  </r>
  <r>
    <x v="100"/>
    <x v="91"/>
    <s v="Self - Unicolor C41 Kit"/>
    <s v="Self - Epson V700"/>
    <m/>
    <m/>
    <s v="Daria and Tania test shoot. Expired early 2000s, rated at 50 ISO"/>
    <s v="Kodak"/>
    <s v="Portra 160 NC"/>
    <s v="120 - 6x6"/>
    <m/>
    <x v="8"/>
    <s v="Built-in"/>
    <m/>
  </r>
  <r>
    <x v="101"/>
    <x v="92"/>
    <s v="Self - Unicolor E6 Kit"/>
    <s v="Self - OpticFilm 7600i"/>
    <s v="Developed with roll of bulk loaded 64t. Developed for 7 mins 20 seconds ish. Looks like some frames are over exposed"/>
    <m/>
    <s v="Rated at 400"/>
    <s v="Kodak"/>
    <s v="Ektachrome P800"/>
    <n v="135"/>
    <m/>
    <x v="0"/>
    <s v="Nikkor 28mm f/2.8 AI-S &amp; Nikon AI 50mm f/1.8 Pancake"/>
    <m/>
  </r>
  <r>
    <x v="102"/>
    <x v="93"/>
    <s v="Self - Ilford DD-X"/>
    <s v="Self - Epson V700"/>
    <m/>
    <m/>
    <s v="Mamiya 645 Pro for calgary test roll. Worked perfectly. None of the lenses have glaring issues shot normally"/>
    <s v="Ilford"/>
    <s v="HP5+"/>
    <s v="120 - 645"/>
    <s v="Push - 1"/>
    <x v="3"/>
    <s v="35mm f/3.5, 45mm f/2.8, 80mm f/2.8, 150mm f/4, 210 f/4"/>
    <m/>
  </r>
  <r>
    <x v="103"/>
    <x v="94"/>
    <s v="Self - Unicolor C41 Kit"/>
    <s v="Self - OpticFilm 7600i"/>
    <s v="Colors are extremely weird and there is a lot of grain"/>
    <m/>
    <s v="Shoot with Abhi and Sierra downtown Edmonton"/>
    <s v="Kodak"/>
    <s v="Portra 800"/>
    <n v="135"/>
    <m/>
    <x v="9"/>
    <s v="AF-D Nikon 50mm f1.4"/>
    <m/>
  </r>
  <r>
    <x v="104"/>
    <x v="95"/>
    <s v="Self - Ilford DD-X"/>
    <s v="Self - Epson V700"/>
    <m/>
    <m/>
    <s v="Bessa II test roll. We do be missing focus"/>
    <s v="Ilford"/>
    <s v="HP5+"/>
    <s v="120 - 6x9"/>
    <m/>
    <x v="12"/>
    <s v="Color-Skopar 105mm f/3.5"/>
    <m/>
  </r>
  <r>
    <x v="105"/>
    <x v="96"/>
    <s v="Self - Unicolor C41 Kit"/>
    <s v="Self - Epson V700"/>
    <m/>
    <m/>
    <s v="final urban yeg meet up"/>
    <s v="Fujifilm"/>
    <s v="Pro 400H"/>
    <s v="120 - 6x6"/>
    <m/>
    <x v="8"/>
    <s v="Built-in"/>
    <m/>
  </r>
  <r>
    <x v="106"/>
    <x v="97"/>
    <s v="Self - Unicolor C41 Kit"/>
    <s v="Self - Epson V700"/>
    <m/>
    <s v="Looks good throughout!"/>
    <s v="Rated at 160, 80, 64, and 50 throught the roll. Photos at all isos are looking good. Would prob rate future rolls at 80 just to be safe but it's an awesome stock"/>
    <s v="Kodak"/>
    <s v="Vericolor VPS 160"/>
    <s v="220 - 645"/>
    <m/>
    <x v="6"/>
    <s v="Built-in"/>
    <m/>
  </r>
  <r>
    <x v="107"/>
    <x v="98"/>
    <s v="Self - Unicolor E6 Kit"/>
    <s v="Self - OpticFilm 7600i"/>
    <s v="Developed with roll of p400. Developed for 7 mins 20 seconds ish"/>
    <m/>
    <s v="Shot primarily with an 81A warming filter except for the last few shots. Bulk loaded by Gary of Lensmedicyyc"/>
    <s v="Kodak"/>
    <s v="Ektachrome 64T"/>
    <n v="135"/>
    <m/>
    <x v="9"/>
    <m/>
    <m/>
  </r>
  <r>
    <x v="108"/>
    <x v="99"/>
    <s v="Self - Unicolor E6 Kit"/>
    <s v="Self - Epson V700"/>
    <s v="Developed in first developer for 7.5 mins with perfect results"/>
    <s v="A little easier to scan than previous ektachrome attempts"/>
    <s v="Expired in 2011. rated at box speed and shot of the fireworks"/>
    <s v="Fujifilm"/>
    <s v="Provia 100F"/>
    <s v="120 - 645"/>
    <m/>
    <x v="6"/>
    <s v="Built-in"/>
    <m/>
  </r>
  <r>
    <x v="109"/>
    <x v="100"/>
    <s v="Self - Unicolor E6 Kit"/>
    <s v="Self - Epson V700"/>
    <s v="Developed for about 7 mins and 45 seconds"/>
    <m/>
    <s v="Loaded in film holder b - No. 2 sheets. Rated at 100. last 2 shots of the day. Of Chevaughn. Second photo is 1 stop under exposed"/>
    <s v="Kodak"/>
    <s v="Ektachrome E100"/>
    <s v="4x5"/>
    <m/>
    <x v="10"/>
    <s v="Schneider-Kreuznach Symmar-S 210mm f/5.6 "/>
    <m/>
  </r>
  <r>
    <x v="109"/>
    <x v="100"/>
    <s v="Self - Ilford DD-X"/>
    <s v="Self - Epson V700"/>
    <s v="Developed for 8 mins with 4 inversions every 30 seconds"/>
    <m/>
    <s v="Loaded in film holder C-1/2. 2 sheets. Intended to be rated at 200"/>
    <s v="Kodak"/>
    <s v="TMax 400"/>
    <s v="4x5"/>
    <m/>
    <x v="10"/>
    <s v="Schneider-Kreuznach Symmar-S 210mm f/5.6 "/>
    <m/>
  </r>
  <r>
    <x v="109"/>
    <x v="100"/>
    <s v="Self - Ilford DD-X"/>
    <s v="Self - Epson V700"/>
    <s v="Developed for 8 mins with 4 inversions every 30 seconds"/>
    <m/>
    <s v="Loaded in film holder B-1/2. 2 sheets. Intended to be rated at 200"/>
    <s v="Kodak"/>
    <s v="TMax 400"/>
    <s v="4x5"/>
    <m/>
    <x v="10"/>
    <s v="Schneider-Kreuznach Symmar-S 210mm f/5.6 "/>
    <m/>
  </r>
  <r>
    <x v="109"/>
    <x v="101"/>
    <s v="Lab - McBain"/>
    <s v="Lab - McBain"/>
    <m/>
    <m/>
    <s v="Shots look good"/>
    <s v="Kodak"/>
    <s v="UltraMax 400"/>
    <n v="135"/>
    <m/>
    <x v="5"/>
    <s v="Built-in"/>
    <m/>
  </r>
  <r>
    <x v="110"/>
    <x v="102"/>
    <s v="Self - Unicolor C41 Kit"/>
    <s v="Self - Epson V700"/>
    <s v="HEAVY green tint. Almost uncorrectable"/>
    <s v="Magenta bleed on edge of frames possibly from scanning light"/>
    <m/>
    <s v="Kodak"/>
    <s v="Portra 160 NC"/>
    <s v="120 - 6x6"/>
    <m/>
    <x v="8"/>
    <s v="Built-in"/>
    <m/>
  </r>
  <r>
    <x v="111"/>
    <x v="103"/>
    <s v="Self - Ilford DD-X"/>
    <s v="Self - Epson V700"/>
    <s v="Developed for 8 mins, fixed for 5 mins"/>
    <s v="Scanned in great!"/>
    <s v="2 Sheets loaded in B-No. Rated at 200 ISO. Karola in Jose's garage with aperture light"/>
    <s v="Kodak"/>
    <s v="TMax 400"/>
    <s v="4x5"/>
    <m/>
    <x v="10"/>
    <s v="Schneider-Kreuznach Symmar-S 210mm f/5.6 "/>
    <m/>
  </r>
  <r>
    <x v="111"/>
    <x v="103"/>
    <s v="Self - Unicolor E6 Kit"/>
    <s v="Self - Epson V700"/>
    <s v="Developed in first developer for 7 mins 45ish seconds"/>
    <m/>
    <s v="2 sheets loaded in film holder B1/B2. Karola in Jose's garage with aperture light. Rated at 100 ISO. Might've missed focus or have slight motion blur on frame 2"/>
    <s v="Kodak"/>
    <s v="Ektachrome E100"/>
    <s v="4x5"/>
    <m/>
    <x v="10"/>
    <s v="Schneider-Kreuznach Symmar-S 210mm f/5.6 "/>
    <m/>
  </r>
  <r>
    <x v="111"/>
    <x v="104"/>
    <s v="Self - Ilford DD-X"/>
    <s v="Self - OpticFilm 7600i"/>
    <m/>
    <m/>
    <s v="Shoot with Mary, Jose and Karola + BusinessLink BTS with Jose. Daytime shots with "/>
    <s v="Flicfilm"/>
    <s v="Double-X"/>
    <n v="135"/>
    <s v="Push - 2"/>
    <x v="0"/>
    <s v="Nikkor 28mm f/2.8 AI-S &amp; Nikkor P-Auto 105mm f/2.5"/>
    <m/>
  </r>
  <r>
    <x v="112"/>
    <x v="105"/>
    <s v="Self - Unicolor C41 Kit"/>
    <s v="Self - OpticFilm 7600i"/>
    <m/>
    <m/>
    <s v="Shoot with Linda, Rose, and Hilary + Mary, Vik, Lex and Dayton. Shots turned out really well. Solid stock overall "/>
    <s v="Cinestill"/>
    <s v="400D"/>
    <n v="135"/>
    <m/>
    <x v="9"/>
    <s v="AF-D Nikon 50mm f1.4"/>
    <m/>
  </r>
  <r>
    <x v="113"/>
    <x v="106"/>
    <s v="Lab - McBain"/>
    <s v="Lab - McBain"/>
    <m/>
    <m/>
    <m/>
    <s v="Fujifilm"/>
    <n v="400"/>
    <n v="135"/>
    <m/>
    <x v="0"/>
    <m/>
    <m/>
  </r>
  <r>
    <x v="114"/>
    <x v="107"/>
    <s v="Self - Unicolor E6 Kit"/>
    <s v="Self - Epson V700"/>
    <s v="Developed for 7:30. colors look good but slides are certainly slightly under developed"/>
    <m/>
    <s v="Pentax 6x7 test roll. Everything seems to be in good working order!"/>
    <s v="Kodak"/>
    <s v="Ektachrome E100"/>
    <s v="120 - 6x7"/>
    <m/>
    <x v="11"/>
    <s v="Pentax Super Multi Coated Takumar 105mm f/2.4"/>
    <m/>
  </r>
  <r>
    <x v="115"/>
    <x v="108"/>
    <s v="Self - 510 Pyro"/>
    <s v="Self - Epson V700"/>
    <s v="Developed for 30 mins and 45 seconds at 21C with 1 inversion every 10 mins. Results look solid based on the negatives"/>
    <m/>
    <s v="2 sheets loaded in film holder C1/C2. Shots of Jordyn in Shaun's studio"/>
    <s v="Kodak"/>
    <s v="TMax 400"/>
    <s v="4x5"/>
    <m/>
    <x v="10"/>
    <s v="Schneider-Kreuznach Symmar-S 210mm f/5.6 "/>
    <m/>
  </r>
  <r>
    <x v="115"/>
    <x v="108"/>
    <s v="Self - Unicolor E6 Kit"/>
    <s v="Self - Epson V700"/>
    <s v="Developed for 7:45 in first developer. Ended up perfectly developed"/>
    <m/>
    <s v="Loaded in film holder B1/B2. Shots of Jordyn in Shaun's studio"/>
    <s v="Kodak "/>
    <s v="Ektachrome E100"/>
    <s v="4x5"/>
    <m/>
    <x v="10"/>
    <s v="Schneider-Kreuznach Symmar-S 210mm f/5.6 "/>
    <m/>
  </r>
  <r>
    <x v="115"/>
    <x v="108"/>
    <s v="Self - Unicolor E6 Kit"/>
    <s v="Self - Epson V700"/>
    <s v="Developed for 7:45 in first developer. Ended up perfectly developed"/>
    <m/>
    <s v="Loaded in film holder B-No. 2 sheets of ektachrome. Shots of Jordyn in Shaun's studio"/>
    <s v="Kodak"/>
    <s v="Ektachrome E100"/>
    <s v="4x5"/>
    <m/>
    <x v="10"/>
    <s v="Schneider-Kreuznach Symmar-S 210mm f/5.6 "/>
    <m/>
  </r>
  <r>
    <x v="116"/>
    <x v="106"/>
    <s v="Self - Unicolor C41 Kit"/>
    <s v="Self - Epson V700"/>
    <m/>
    <m/>
    <s v="Expired 2003. Shot at 800 then 400 then 200 for rest of roll. First frame had shutter lock open. 200 Seems about fine for exposure for it"/>
    <s v="Fujifilm"/>
    <s v="NHG II 800"/>
    <s v="120 - 6x7"/>
    <m/>
    <x v="11"/>
    <s v="Pentax Super Multi Coated Takumar 105mm f/2.4"/>
    <m/>
  </r>
  <r>
    <x v="116"/>
    <x v="106"/>
    <s v="Self - 510 Pyro"/>
    <s v="Self - Epson V700"/>
    <s v="Developed for 14 mins 30 seconds. Very good results"/>
    <m/>
    <m/>
    <s v="Ilford"/>
    <s v="Delta 100"/>
    <s v="120 - 6x7"/>
    <m/>
    <x v="11"/>
    <s v="Pentax Super Multi Coated Takumar 105mm f/2.4"/>
    <m/>
  </r>
  <r>
    <x v="117"/>
    <x v="109"/>
    <s v="Self - Ilford DD-X"/>
    <s v="Self - Epson V700"/>
    <s v="Developed for 15 mins with inversions every 30 seconds"/>
    <m/>
    <s v="Loaded in Film holder C1/C2. Shots of Tama in his apartment"/>
    <s v="Kodak"/>
    <s v="TMax 400"/>
    <s v="4x5"/>
    <m/>
    <x v="10"/>
    <s v="Schneider-Kreuznach Symmar-S 210mm f/5.6 &amp; Schneider-Kreuznach Angulon 9cm f/6.8"/>
    <m/>
  </r>
  <r>
    <x v="117"/>
    <x v="109"/>
    <s v="Self - Ilford DD-X"/>
    <s v="Self - Epson V700"/>
    <s v="Developed for 15 mins with inversions every 30 seconds. Density looks decent enough. 1 Shot was under exposed"/>
    <m/>
    <s v="Loaded in film holder D1/D2. Shots of Tama in his apartment"/>
    <s v="Kodak"/>
    <s v="TMax 400"/>
    <s v="4x5"/>
    <m/>
    <x v="10"/>
    <s v="Schneider-Kreuznach Symmar-S 210mm f/5.6 &amp; Schneider-Kreuznach Angulon 9cm f/6.8"/>
    <m/>
  </r>
  <r>
    <x v="118"/>
    <x v="110"/>
    <s v="Self - Unicolor C41 Kit"/>
    <s v="Self - OpticFilm 7600i"/>
    <m/>
    <m/>
    <m/>
    <s v="Kodak"/>
    <s v="UltraMax 400"/>
    <n v="135"/>
    <m/>
    <x v="9"/>
    <m/>
    <m/>
  </r>
  <r>
    <x v="119"/>
    <x v="111"/>
    <s v="Self - 510 Pyro"/>
    <s v="Self - Epson V700"/>
    <s v="Developed 1+100 for 27 mins and 30 seconds with 1 inversion every 10 mins. Negative density is… interesting. Maybe a bit too contrasty"/>
    <m/>
    <s v="Test roll in room using mainly 80mm f/1.9. Expired 2000. rated at 100 for most of it"/>
    <s v="Kodak"/>
    <s v="TMax 100"/>
    <s v="120 - 645"/>
    <m/>
    <x v="3"/>
    <s v="Mamiya Sekor C 45mm f/2.8 &amp; Mamiya Sekor C 80mm f/1.9"/>
    <m/>
  </r>
  <r>
    <x v="120"/>
    <x v="112"/>
    <s v="Self - Unicolor C41 Kit"/>
    <s v="Self - Epson V700"/>
    <s v="Temps were a bit hot. Negatives are quite purple off the rip but are very scannable with decent density"/>
    <m/>
    <m/>
    <s v="Cinestill"/>
    <s v="400D"/>
    <s v="120 - 6x7"/>
    <m/>
    <x v="11"/>
    <s v="Pentax Super Multi Coated Takumar 105mm f/2.4 &amp; Pentax Super Multi Coated Takumar 55mm f/3.5"/>
    <m/>
  </r>
  <r>
    <x v="120"/>
    <x v="112"/>
    <s v="Self - Unicolor C41 Kit"/>
    <s v="Self - Epson V700"/>
    <m/>
    <m/>
    <s v="From batch from Logan. Tested at 800, 400, then 200 for rest of roll"/>
    <s v="Fujifilm"/>
    <s v="NPZ 800Z"/>
    <s v="120 - 6x7"/>
    <m/>
    <x v="11"/>
    <s v="Pentax Super Multi Coated Takumar 105mm f/2.4"/>
    <m/>
  </r>
  <r>
    <x v="121"/>
    <x v="113"/>
    <s v="Self - 510 Pyro"/>
    <s v="Self - Epson V700"/>
    <s v="Developed for 30 mins and 45 seconds at 21C with 1 inversion every 10 mins. "/>
    <s v="Scans are solid"/>
    <s v="2 sheets loaded in film holder C1/C2. Shots of Elena in her apartment rated at ISO 250"/>
    <s v="Kodak"/>
    <s v="TMax 400"/>
    <s v="4x5"/>
    <m/>
    <x v="10"/>
    <s v="Schneider-Kreuznach Symmar-S 210mm f/5.6 &amp; Schneider-Kreuznach Angulon 9cm f/6.8"/>
    <m/>
  </r>
  <r>
    <x v="121"/>
    <x v="113"/>
    <s v="Self - 510 Pyro"/>
    <s v="Self - Epson V700"/>
    <s v="Developed for 30 mins and 45 seconds at 21 with 1 inversion every 10 mins"/>
    <s v="Scans are solid"/>
    <s v="1 sheet loaded in film holder B1/B2. "/>
    <s v="Kodak"/>
    <s v="TMax 400"/>
    <s v="4x5"/>
    <m/>
    <x v="10"/>
    <s v="Schneider-Kreuznach Symmar-S 210mm f/5.6 "/>
    <m/>
  </r>
  <r>
    <x v="121"/>
    <x v="113"/>
    <s v="Self - 510 Pyro"/>
    <s v="Self - Epson V700"/>
    <s v="Developed for 30 mins and 45 seconds at 21C with 1 inversion every 10 mins. Results look solid based on the negatives"/>
    <s v="Scanned in perfectly"/>
    <s v="2 sheets loaded in film holder B-No. Shots of Elena in her apartment rated at ISO 250"/>
    <s v="Kodak"/>
    <s v="Tmax 400"/>
    <s v="4x5"/>
    <m/>
    <x v="13"/>
    <s v="Schneider-Kreuznach Symmar-S 210mm f/5.6 &amp; Schneider-Kreuznach Angulon 9cm f/6.8"/>
    <m/>
  </r>
  <r>
    <x v="122"/>
    <x v="114"/>
    <s v="Self - Unicolor C41 Kit"/>
    <s v="Self - Epson V700"/>
    <s v="Loaded 2 rolls on the same reel and lost the end of this roll due to overlap"/>
    <m/>
    <m/>
    <s v="Cinestill"/>
    <s v="400D"/>
    <s v="120 - 6x7"/>
    <m/>
    <x v="11"/>
    <s v="Pentax Super Multi Coated Takumar 105mm f/2.4"/>
    <m/>
  </r>
  <r>
    <x v="123"/>
    <x v="115"/>
    <s v="Self - Unicolor C41 Kit"/>
    <s v="Self - OpticFilm 7600i"/>
    <m/>
    <s v="Dusty, grainy, weird colors. Looks like it wasn't expired though"/>
    <s v="Expiry unknown. Rated at 160"/>
    <s v="Fujifilm"/>
    <s v="Superia 400"/>
    <n v="135"/>
    <m/>
    <x v="0"/>
    <m/>
    <m/>
  </r>
  <r>
    <x v="124"/>
    <x v="116"/>
    <s v="Self - 510 Pyro"/>
    <s v="Self - Epson V700"/>
    <s v="Developed for 9 mins with 4 inversions every 45ish seconds. Appears to be light leaks"/>
    <m/>
    <s v="2 sheets loaded in film holder C1/C2. Shots of Andrea at Rossdale Park"/>
    <s v="Ilford"/>
    <s v="HP5+"/>
    <s v="4x5"/>
    <m/>
    <x v="10"/>
    <s v="Schneider-Kreuznach Symmar-S 210mm f/5.6 "/>
    <m/>
  </r>
  <r>
    <x v="124"/>
    <x v="116"/>
    <s v="Self - 510 Pyro"/>
    <s v="Self - Epson V700"/>
    <s v="Developed for 9 mins with 4 inversions every 45ish seconds. Appears to be light leaks"/>
    <m/>
    <s v="2 sheets loaded in film holder B/No. Shots of Andrea at Rossdale Park"/>
    <s v="Ilford"/>
    <s v="HP5+"/>
    <s v="4x5"/>
    <m/>
    <x v="10"/>
    <s v="Schneider-Kreuznach Symmar-S 210mm f/5.6 "/>
    <m/>
  </r>
  <r>
    <x v="125"/>
    <x v="117"/>
    <s v="Self - Unicolor C41 Kit"/>
    <s v="Self - Epson V700"/>
    <s v="developed with 2023-08-12 roll of cinestill 400d. This one turned out perfect"/>
    <s v="Mashallah"/>
    <s v="Shot at 400. Shots of Sierra in The Photographer Studio"/>
    <s v="Fujifilm"/>
    <s v="Pro 400H"/>
    <s v="120 - 6x7"/>
    <m/>
    <x v="11"/>
    <s v="Pentax Super Multi Coated Takumar 105mm f/2.4 &amp; Pentax 135mm f/4 Macro"/>
    <m/>
  </r>
  <r>
    <x v="125"/>
    <x v="117"/>
    <s v="Self - 510 Pyro"/>
    <s v="Self - Epson V700"/>
    <s v="Developed for 38 mins. Negatives may be a little too dense"/>
    <s v="Fuck curly film. Always"/>
    <s v="Shot at 400. Shots of Sierra in The Photographer Studio"/>
    <s v="Cinestill"/>
    <s v="BWXX"/>
    <s v="120 - 6x7"/>
    <m/>
    <x v="11"/>
    <s v="Pentax Super Multi Coated Takumar 105mm f/2.4"/>
    <m/>
  </r>
  <r>
    <x v="126"/>
    <x v="118"/>
    <s v="Self - Unicolor C41 Kit"/>
    <s v="Self - Epson V700"/>
    <m/>
    <m/>
    <m/>
    <s v="Fujifilm"/>
    <s v="NPZ 800Z"/>
    <s v="120 - 6x7"/>
    <m/>
    <x v="11"/>
    <s v="Pentax Super Multi Coated Takumar 105mm f/2.4"/>
    <m/>
  </r>
  <r>
    <x v="127"/>
    <x v="119"/>
    <s v="Self - Unicolor C41 Kit"/>
    <s v="Self - OpticFilm 7600i"/>
    <m/>
    <s v="dusty, grainy, weird colors"/>
    <m/>
    <s v="Kodak"/>
    <s v="UltraMax 400"/>
    <n v="135"/>
    <m/>
    <x v="9"/>
    <m/>
    <m/>
  </r>
  <r>
    <x v="128"/>
    <x v="120"/>
    <s v="Self - 510 Pyro"/>
    <s v="Self - Epson V700"/>
    <s v="Developed in 510 pyro for 11 mins with 4 inversions every minute"/>
    <m/>
    <s v="Tmax 100 Expired in early 2000s from Logan. Shot at 50 iso by Yasmiin"/>
    <s v="Kodak"/>
    <s v="TMax 100"/>
    <s v="120 - 645"/>
    <m/>
    <x v="3"/>
    <s v="Mamiya Sekor C 45mm f/2.8 &amp; Mamiya Sekor C 80mm f/1.9"/>
    <m/>
  </r>
  <r>
    <x v="129"/>
    <x v="121"/>
    <s v="Self - Unicolor C41 Kit"/>
    <s v="Self - Epson V700"/>
    <m/>
    <m/>
    <s v="Expired in 2009ish. Camera can't focus to infinity"/>
    <s v="Kodak"/>
    <s v="Portra 160 NC"/>
    <s v="120 - 6x6"/>
    <m/>
    <x v="8"/>
    <s v="Built-in"/>
    <m/>
  </r>
  <r>
    <x v="130"/>
    <x v="122"/>
    <s v="Self - Unicolor C41 Kit"/>
    <s v="Self - Epson V700"/>
    <m/>
    <m/>
    <s v="Kelowna roll 1. Expired 2011, shot at 200 iso"/>
    <s v="Kodak"/>
    <s v="Portra 400 NC"/>
    <s v="120 - 645"/>
    <m/>
    <x v="6"/>
    <s v="Built-in"/>
    <m/>
  </r>
  <r>
    <x v="130"/>
    <x v="122"/>
    <s v="Self - Unicolor C41 Kit"/>
    <s v="Self - Epson V700"/>
    <s v="Developed for 4:30. shadow detail is a little lacking in some shots"/>
    <m/>
    <s v="Kelowna roll 2"/>
    <s v="Cinestill"/>
    <s v="400D"/>
    <s v="120 - 645"/>
    <m/>
    <x v="6"/>
    <s v="Built-in"/>
    <m/>
  </r>
  <r>
    <x v="131"/>
    <x v="123"/>
    <s v="Self - 510 Pyro"/>
    <s v="Self - OpticFilm 7600i"/>
    <s v="Developed for 18 mins with inversions every 10 mins"/>
    <s v="scanned in pretty well! No grain really"/>
    <s v="Negatives seemed a little scratched up"/>
    <s v="Lomography"/>
    <s v="Earl Grey"/>
    <n v="135"/>
    <m/>
    <x v="0"/>
    <m/>
    <m/>
  </r>
  <r>
    <x v="132"/>
    <x v="124"/>
    <s v="Lab - McBain"/>
    <s v="Lab - McBain"/>
    <m/>
    <m/>
    <m/>
    <s v="Kodak"/>
    <s v="Ektar 100"/>
    <n v="135"/>
    <m/>
    <x v="0"/>
    <s v="28mm f2.8 AIS &amp; AF-D 50mm f/1.4"/>
    <m/>
  </r>
  <r>
    <x v="132"/>
    <x v="123"/>
    <s v="Self - Unicolor C41 Kit"/>
    <s v="Self - Epson V700"/>
    <s v="Negatives are a little thin. Could have used an extra stop perhaps"/>
    <m/>
    <s v="Strathearn art walk roll 1. Rated at around 80 ISO"/>
    <s v="Kodak"/>
    <s v="Vericolor VPS 160"/>
    <s v="220 - 6x7"/>
    <m/>
    <x v="11"/>
    <s v="Pentax Super Multi Coated Takumar 105mm f/2.4"/>
    <m/>
  </r>
  <r>
    <x v="132"/>
    <x v="123"/>
    <s v="Self - Unicolor C41 Kit"/>
    <s v="Self - Epson V700"/>
    <s v="Developed for 4:35"/>
    <m/>
    <s v="Strathearn art walk roll 2"/>
    <s v="Kodak"/>
    <s v="Gold 200"/>
    <s v="120 - 6x7"/>
    <m/>
    <x v="11"/>
    <s v="Pentax Super Multi Coated Takumar 105mm f/2.4"/>
    <m/>
  </r>
  <r>
    <x v="133"/>
    <x v="125"/>
    <s v="Self - Unicolor C41 Kit"/>
    <s v="Self - OpticFilm 7600i"/>
    <s v="Photos from this stock still come out magenta by default"/>
    <m/>
    <m/>
    <s v="Fujifilm"/>
    <n v="400"/>
    <n v="135"/>
    <m/>
    <x v="9"/>
    <s v="28mm f2.8 AIS &amp; AF-D 50mm f/1.4"/>
    <m/>
  </r>
  <r>
    <x v="133"/>
    <x v="126"/>
    <s v="Self - Unicolor C41 Kit"/>
    <s v="Self - Epson V700"/>
    <m/>
    <m/>
    <s v="Jordyn retro shoot roll 1"/>
    <s v="Fujifilm"/>
    <s v="Pro 400H"/>
    <s v="120 - 6x7"/>
    <m/>
    <x v="11"/>
    <s v="Pentax Super Multi Coated Takumar 105mm f/2.4"/>
    <m/>
  </r>
  <r>
    <x v="133"/>
    <x v="126"/>
    <s v="Self - 510 Pyro"/>
    <s v="Self - Epson V700"/>
    <s v="Developed for about 25 mins semi-stand with inversions every 10 mins. Density is a little thin in the shadows, but overall it's worked out ok"/>
    <s v="Seems to be some light bleed on edges of a few frames"/>
    <s v="Jordyn retro shoot roll 2"/>
    <s v="Flicfilm"/>
    <s v="Ultrapan 400"/>
    <s v="120 - 6x7"/>
    <m/>
    <x v="11"/>
    <s v="Pentax Super Multi Coated Takumar 105mm f/2.4 &amp; 55mm f/3.5"/>
    <m/>
  </r>
  <r>
    <x v="133"/>
    <x v="126"/>
    <s v="Self - Unicolor C41 Kit"/>
    <s v="Self - Epson V700"/>
    <s v="Developed with roll from the 17th of september -but fucked up washing it so there are scratches all over"/>
    <m/>
    <s v="Damon lucifer shoot"/>
    <s v="Cinestill"/>
    <s v="400D"/>
    <s v="120 - 6x7"/>
    <m/>
    <x v="11"/>
    <s v="Pentax Super Multi Coated Takumar 105mm f/2.4"/>
    <m/>
  </r>
  <r>
    <x v="134"/>
    <x v="127"/>
    <s v="Self - Unicolor C41 Kit"/>
    <s v="Self - Epson V700"/>
    <m/>
    <s v="Don’t shoot cinestill in daytime without a filter kids"/>
    <s v="Iva shoot and dog park shoot"/>
    <s v="Cinestill"/>
    <s v="800T"/>
    <s v="120 - 6x7"/>
    <m/>
    <x v="11"/>
    <s v="Pentax Super Multi Coated Takumar 105mm f/2.4"/>
    <m/>
  </r>
  <r>
    <x v="135"/>
    <x v="128"/>
    <s v="Self - 510 Pyro"/>
    <s v="Self - Epson V700"/>
    <s v="developed for about 9 mins. Fell off hanging clip a couple times so it's scuffed"/>
    <m/>
    <s v="Hasselblad 500cm test roll"/>
    <s v="Ilford"/>
    <s v="HP5+"/>
    <s v="120 - 6x6"/>
    <m/>
    <x v="14"/>
    <s v="CF 150mm f/4 Sonnar"/>
    <m/>
  </r>
  <r>
    <x v="136"/>
    <x v="128"/>
    <s v="Self - Unicolor C41 Kit"/>
    <s v="Self - Epson V700"/>
    <s v="Developed with Damon roll"/>
    <m/>
    <s v="Muttart shoot with Andrew"/>
    <s v="Kodak"/>
    <s v="Ektar 100"/>
    <s v="120 - 6x6"/>
    <m/>
    <x v="14"/>
    <s v="CF 150mm f/4 Sonnar"/>
    <m/>
  </r>
  <r>
    <x v="137"/>
    <x v="127"/>
    <s v="Self - Unicolor C41 Kit"/>
    <s v="Self - Epson V700"/>
    <m/>
    <m/>
    <s v="Dog park roll with Lemon Gang"/>
    <s v="Kodak"/>
    <s v="Gold 200"/>
    <s v="120 - 6x7"/>
    <m/>
    <x v="11"/>
    <s v="Pentax Super Multi Coated Takumar 105mm f/2.4"/>
    <m/>
  </r>
  <r>
    <x v="138"/>
    <x v="129"/>
    <s v="Self - Unicolor C41 Kit"/>
    <s v="Self - Epson V700"/>
    <m/>
    <s v="Scans are pog"/>
    <s v="2 Sheets loaded in film holder B/No. Shots of Sebastien at void studio, rated at ISO 50. left shutter open for first shot.  Weird double exposure effect"/>
    <s v="Fujifilm"/>
    <s v="NPS 160"/>
    <s v="4x5"/>
    <m/>
    <x v="10"/>
    <s v="Schneider-Kreuznach Symmar-S 210mm f/5.6 "/>
    <m/>
  </r>
  <r>
    <x v="138"/>
    <x v="129"/>
    <s v="Self - Unicolor C41 Kit"/>
    <s v="Self - Epson V700"/>
    <m/>
    <s v="Scans are pog"/>
    <s v="2 Sheets loaded in film holder C1/C2. Shots of Sebastien at void studio, rated at ISO 50"/>
    <s v="Fujifilm"/>
    <s v="NPS 160"/>
    <s v="4x5"/>
    <m/>
    <x v="10"/>
    <s v="Schneider-Kreuznach Symmar-S 210mm f/5.6 "/>
    <m/>
  </r>
  <r>
    <x v="139"/>
    <x v="130"/>
    <s v="Self - 510 Pyro"/>
    <s v="Self - Epson V700"/>
    <s v="Developed for 11 mins semi-stand"/>
    <s v="Scans are soft or I missed focus or something. Either way. Fuck this roll"/>
    <s v="Halle Shoot"/>
    <s v="Ilford"/>
    <s v="Delta 100"/>
    <s v="120 - 6x6"/>
    <m/>
    <x v="14"/>
    <s v="CF 150mm f/4 Sonnar"/>
    <m/>
  </r>
  <r>
    <x v="140"/>
    <x v="131"/>
    <s v="Self - 510 Pyro"/>
    <s v="Self - OpticFilm 7600i"/>
    <s v="Developed for 13:30 with standard 4 inversions every minute"/>
    <m/>
    <s v="Test roll shot at 1600. light meter is kinda fucked. We really need to work on our zone focusing"/>
    <s v="Ilford"/>
    <s v="Delta 3200"/>
    <n v="135"/>
    <m/>
    <x v="15"/>
    <s v="Built-in"/>
    <m/>
  </r>
  <r>
    <x v="141"/>
    <x v="132"/>
    <s v="Self - 510 Pyro"/>
    <s v="Self - Epson V700"/>
    <s v="Developed for 11.5 mins at 20c with inversions every 45 seconds. Fixed for 5 mins. Weird blue spots on negatives"/>
    <m/>
    <s v="2 sheets loaded in film holder D1/D2. Expired in 1992. Rated at 50, shot with Katanya her in home studio. First shot was double exposure due to flash misfire"/>
    <s v="Kodak"/>
    <s v="TMax 100"/>
    <s v="4x5"/>
    <m/>
    <x v="10"/>
    <s v="Rodenstock Sironar-N 150mm f/5.6 &amp; Schneider-Kreuznach Symmar-S 210mm f/5.6 "/>
    <m/>
  </r>
  <r>
    <x v="141"/>
    <x v="132"/>
    <s v="Self - 510 Pyro"/>
    <s v="Self - Epson V700"/>
    <s v="Developed for 11.5 mins at 20c with inversions every 45 seconds. Fixed for 5 mins. Weird blue spots on negatives"/>
    <m/>
    <s v="2 sheets loaded in film holder C1/C2. Expired in 1992. Rated at 50, shot with Katanya her in home studio"/>
    <s v="Kodak"/>
    <s v="TMax 100"/>
    <s v="4x5"/>
    <m/>
    <x v="10"/>
    <s v="Rodenstock Sironar-N 150mm f/5.6"/>
    <m/>
  </r>
  <r>
    <x v="141"/>
    <x v="132"/>
    <s v="Self - Unicolor C41 Kit"/>
    <s v="Self - Epson V700"/>
    <s v="Negatives came through just dandy"/>
    <m/>
    <s v="2 Sheets loaded in film holder B/No. Shots of Katanya in her home studio, rated at ISO 50. "/>
    <s v="Fujifilm"/>
    <s v="NPS 160"/>
    <s v="4x5"/>
    <m/>
    <x v="10"/>
    <s v="Rodenstock Sironar-N 150mm f/5.6"/>
    <m/>
  </r>
  <r>
    <x v="142"/>
    <x v="133"/>
    <s v="Self - Unicolor C41 Kit"/>
    <s v="Self - Epson V700"/>
    <s v="the c41 process did not treat these well"/>
    <s v="either light leaked, or c41 dev didn't work for this, either way. Shits ass"/>
    <s v="2 Sheets loaded in film holder C1/C2. Expired 1996_x000a_Shots of Pentax 6x7 for HAVDC midterm_x000a_C1 - rated at ISO 125, f/5.6, 1/200 flash at 1/4 power_x000a_C2 - rated at ISO 64, f7ish, 1/200 flash at 1/1 power"/>
    <s v="Kodak"/>
    <s v="Ektachrome 64T"/>
    <s v="4x5"/>
    <m/>
    <x v="10"/>
    <s v="Schneider-Kreuznach Symmar-S 210mm f/5.6 "/>
    <m/>
  </r>
  <r>
    <x v="143"/>
    <x v="134"/>
    <s v="Self - Unicolor C41 Kit"/>
    <s v="Self - Epson V700"/>
    <m/>
    <s v="We the best"/>
    <s v="Shots of Alex around Kaffa"/>
    <s v="Cinestill"/>
    <s v="400D"/>
    <s v="120 - 6x7"/>
    <m/>
    <x v="11"/>
    <s v="Pentax Super Multi Coated Takumar 105mm f/2.4"/>
    <m/>
  </r>
  <r>
    <x v="144"/>
    <x v="135"/>
    <s v="Self - Unicolor C41 Kit"/>
    <s v="Self - Epson V700"/>
    <m/>
    <m/>
    <s v="Shoot in Artistic Creations Studio with Lemon Gang + Vik"/>
    <s v="Kodak"/>
    <s v="Gold 200"/>
    <s v="120 - 645"/>
    <m/>
    <x v="3"/>
    <s v="Mamiya Sekor C 80mm f/1.9"/>
    <m/>
  </r>
  <r>
    <x v="145"/>
    <x v="136"/>
    <s v="Self - Unicolor C41 Kit"/>
    <s v="Self - OpticFilm 7600i"/>
    <m/>
    <s v="Scans are a little dusty but look good"/>
    <s v="Shot at 125 ISO"/>
    <s v="Fujifilm"/>
    <s v="Superia 400"/>
    <n v="135"/>
    <m/>
    <x v="0"/>
    <s v="Nikon 50mm f/1.4 af-d"/>
    <m/>
  </r>
  <r>
    <x v="146"/>
    <x v="137"/>
    <s v="Self - Unicolor C41 Kit"/>
    <s v="Self - Epson V700"/>
    <s v="Solid results"/>
    <m/>
    <s v="Alliyah Lecky Fashion Campaign roll 1"/>
    <s v="Kodak"/>
    <s v="Gold 200"/>
    <s v="120 - 645"/>
    <m/>
    <x v="3"/>
    <s v="Mamiya Sekor C 80mm f/1.9"/>
    <m/>
  </r>
  <r>
    <x v="146"/>
    <x v="137"/>
    <s v="Self - Unicolor C41 Kit"/>
    <s v="Self - Epson V700"/>
    <s v="Came out pretty great"/>
    <s v="Some scans are super soft. Need to work on a new scanning set up for 120"/>
    <s v="Alliyah Lecky Fashion Campaign roll 2"/>
    <s v="Kodak"/>
    <s v="Gold 200"/>
    <s v="120 - 645"/>
    <m/>
    <x v="3"/>
    <s v="Mamiya Sekor C 45mm f/2.8 &amp; Mamiya Sekor C 80mm f/1.9"/>
    <m/>
  </r>
  <r>
    <x v="147"/>
    <x v="138"/>
    <s v="Self - Unicolor C41 Kit"/>
    <s v="Self - Epson V700"/>
    <s v="Negatives looking good"/>
    <s v="turned out great, if not just a bit grainy"/>
    <s v="Daria and Linda home studio shoot. Shot at 200 ISO"/>
    <s v="Fujifilm"/>
    <s v="Pro 400H"/>
    <s v="120 - 6x7 "/>
    <m/>
    <x v="11"/>
    <s v="Pentax Super Multi Coated Takumar 105mm f/2.4"/>
    <m/>
  </r>
  <r>
    <x v="148"/>
    <x v="136"/>
    <s v="Self - Unicolor C41 Kit"/>
    <s v="Self - OpticFilm 7600i"/>
    <m/>
    <m/>
    <s v="Ualberta Palestine walk out"/>
    <s v="Flicfilm"/>
    <s v="Elektra"/>
    <n v="135"/>
    <m/>
    <x v="0"/>
    <s v="Nikon 50mm f/1.4 af-d"/>
    <m/>
  </r>
  <r>
    <x v="149"/>
    <x v="139"/>
    <s v="Self - 510 Pyro"/>
    <s v="Self - Epson V700"/>
    <s v="Developed for 20 mins semi-stand"/>
    <s v="gyat "/>
    <s v="Vik in Linda's home studio roll 1. shot around 64 iso. Expired 90's batch"/>
    <s v="Kodak"/>
    <s v="TMax 100 "/>
    <s v="120 - 6x7"/>
    <m/>
    <x v="11"/>
    <s v="Pentax Super Multi Coated Takumar 105mm f/2.4"/>
    <m/>
  </r>
  <r>
    <x v="149"/>
    <x v="139"/>
    <s v="Self - Unicolor C41 Kit"/>
    <s v="Self - Epson V700"/>
    <s v="Negatives were a little thin"/>
    <m/>
    <s v="Vik in Linda's home studio roll 2. shot around 160 iso. Expired 2009"/>
    <s v="Kodak"/>
    <s v="Portra 400 NC"/>
    <s v="120 - 6x7"/>
    <m/>
    <x v="11"/>
    <s v="Pentax Super Multi Coated Takumar 105mm f/2.4"/>
    <m/>
  </r>
  <r>
    <x v="150"/>
    <x v="140"/>
    <s v="Self - Unicolor C41 Kit"/>
    <s v="Self - OpticFilm 7600i"/>
    <s v="Developed for 4:15. good density on negatives"/>
    <m/>
    <s v="Shots of Hery around ECHA. Unloaded early due to malfunction with Nikon FE"/>
    <s v="Fujifilm"/>
    <n v="400"/>
    <n v="135"/>
    <m/>
    <x v="0"/>
    <s v="Nikon 50mm f/1.4 af-d"/>
    <m/>
  </r>
  <r>
    <x v="150"/>
    <x v="141"/>
    <s v="Self - Unicolor C41 Kit"/>
    <s v="Self - Epson V700"/>
    <s v="Negatives are a little thin, might be underdeveloped"/>
    <m/>
    <s v="Shots of Hery around ECHA. Very Fat roll. Might've been loaded incorrectly"/>
    <s v="Lomography"/>
    <s v="CN 800"/>
    <s v="120 - 6x7"/>
    <m/>
    <x v="11"/>
    <s v="Pentax Super Multi Coated Takumar 105mm f/2.4"/>
    <m/>
  </r>
  <r>
    <x v="151"/>
    <x v="142"/>
    <s v="Lab -McBain"/>
    <s v="Self - OpticFilm 7600i"/>
    <s v="turned out great"/>
    <m/>
    <s v="Shots of Kate in Nico Robin cosplay. Some images back focused "/>
    <s v="Kodak "/>
    <s v="Portra 800"/>
    <n v="135"/>
    <m/>
    <x v="9"/>
    <s v="Nikon 50mm f/1.4 af-d"/>
    <m/>
  </r>
  <r>
    <x v="152"/>
    <x v="143"/>
    <s v="Self - Rodinal"/>
    <s v="Self - Epson V700"/>
    <s v="Developed for 5:45 at 1:25 dilution. Negative density looks good, however there seem to be some light leaks in spots"/>
    <m/>
    <s v="2 Sheets loaded in B-No. Shots of Damon in ShadowBox Studio. First sheet is probably ultra cooked"/>
    <s v="Kodak "/>
    <s v="Tmax 100"/>
    <s v="4x5"/>
    <m/>
    <x v="10"/>
    <s v="Schneider-Kreuznach Symmar-S 210mm f/5.6 &amp; Schneider-Kreuznach Angulon 9cm f/6.8"/>
    <m/>
  </r>
  <r>
    <x v="152"/>
    <x v="143"/>
    <s v="Self - Rodinal"/>
    <s v="Self - Epson V700"/>
    <s v="Developed for 5:45 at 1:25 dilution. Negative density looks good, however there seem to be some light leaks in spots"/>
    <m/>
    <s v="2 sheets loaded in C1/C2. Shots of Damon in ShadowBox Studio"/>
    <s v="Kodak "/>
    <s v="Tmax 100"/>
    <s v="4x5"/>
    <m/>
    <x v="10"/>
    <s v="Schneider-Kreuznach Symmar-S 210mm f/5.6 "/>
    <m/>
  </r>
  <r>
    <x v="152"/>
    <x v="143"/>
    <s v="Self - Unicolor C41 Kit"/>
    <s v="Self - Epson V700"/>
    <s v="Developed for 4:15 and it looks good. Some scratches on negatives at the same spots as previous sheets"/>
    <m/>
    <s v="2 sheets loaded in D1/D2. Shots of Damon in ShadowBox studio"/>
    <s v="Fujifilm"/>
    <s v="NPS 160"/>
    <s v="4x5"/>
    <m/>
    <x v="10"/>
    <s v="Schneider-Kreuznach Symmar-S 210mm f/5.6 "/>
    <m/>
  </r>
  <r>
    <x v="152"/>
    <x v="144"/>
    <s v="Lab - McBain"/>
    <s v="Self - OpticFilm 7600i"/>
    <m/>
    <m/>
    <s v="Shots from shoot with Damon then shots from Shoot with Gisele"/>
    <s v="Fujifilm"/>
    <n v="400"/>
    <n v="135"/>
    <m/>
    <x v="5"/>
    <s v="Built-in"/>
    <m/>
  </r>
  <r>
    <x v="153"/>
    <x v="144"/>
    <s v="Self - Ilfosol 3"/>
    <m/>
    <s v="Massive colossal L. Developer was expired so no photos came out"/>
    <m/>
    <s v="Shoot with Gisele in Le Studio Yeg"/>
    <s v="Cinestill"/>
    <s v="BWXX"/>
    <s v="120 - 6x7"/>
    <s v="Push - 1"/>
    <x v="11"/>
    <s v="Pentax Super Multi Coated Takumar 105mm f/2.4"/>
    <m/>
  </r>
  <r>
    <x v="154"/>
    <x v="145"/>
    <s v="Self - Unicolor C41 Kit"/>
    <s v="Self - Epson V700"/>
    <s v="Developed for 4:30. looks good"/>
    <m/>
    <s v="Used strobe with 165mm f/4 leaf shutter as well as some with the extension tube. Overall worked quite well. Mostly rated at iso 50 ish"/>
    <s v="Fujifilm"/>
    <s v="NPS 160"/>
    <s v="220 - 6x7"/>
    <m/>
    <x v="11"/>
    <s v="Pentax Super Multi Coated Takumar 105mm f/2.4 &amp; SMC Pentax 165mm f/4 LS"/>
    <m/>
  </r>
  <r>
    <x v="155"/>
    <x v="146"/>
    <s v="Self - Unicolor C41 Kit"/>
    <s v="Self - Epson V700"/>
    <s v="Developed for 4:30 and it worked out well"/>
    <s v="They are sharp!"/>
    <s v="Test roll  with jordyn in home studio set up after repair by custom camera building"/>
    <s v="Lomography"/>
    <s v="CN 400"/>
    <s v="120 - 6x6"/>
    <m/>
    <x v="14"/>
    <s v="CF 150mm f/4 Sonnar"/>
    <m/>
  </r>
  <r>
    <x v="155"/>
    <x v="146"/>
    <s v="Self - Rodinal"/>
    <s v="Self - Epson V700"/>
    <s v="Developed for 6.5 mins and density is good"/>
    <s v="Scans are soft due to scanner"/>
    <s v="Expired in 2009, and we rated it at box. Probably hella camera shake. Second test roll with jordyn still"/>
    <s v="Fujifilm"/>
    <s v="Neopan Acros 100"/>
    <s v="120 - 6x6"/>
    <m/>
    <x v="14"/>
    <s v="CF 150mm f/4 Sonnar"/>
    <m/>
  </r>
  <r>
    <x v="156"/>
    <x v="147"/>
    <m/>
    <m/>
    <m/>
    <m/>
    <s v="Rated around iso 80. Expired in the late 70s"/>
    <s v="Kodak"/>
    <s v="Plus-X Pan"/>
    <s v="120 - 6x6"/>
    <m/>
    <x v="14"/>
    <s v="CF 150mm f/4 Sonnar"/>
    <m/>
  </r>
  <r>
    <x v="157"/>
    <x v="147"/>
    <s v="Self - Rodinal"/>
    <s v="Self - Epson V700"/>
    <s v="Developed for 6 mins at 1+25. Could have metered better since some scenes were very backlit"/>
    <m/>
    <s v="Rated around iso 64. expired in 90s. shots of bambi downtown"/>
    <s v="Kodak"/>
    <s v="Tmax 100"/>
    <s v="120 - 6x7"/>
    <m/>
    <x v="11"/>
    <s v="Pentax Super Multi Coated Takumar 105mm f/2.4"/>
    <m/>
  </r>
  <r>
    <x v="158"/>
    <x v="148"/>
    <s v="Self - Unicolor C41 Kit"/>
    <s v="Self - Epson V700"/>
    <s v="did not have enough developer in so there are streaks showing uneven development. Also still have scratches on the negatives"/>
    <m/>
    <s v="Loaded 2 sheets in film holder B/no. Shots of Vi in home studio setup"/>
    <s v="Fujifilm"/>
    <s v="NPS 160"/>
    <s v="4x5"/>
    <m/>
    <x v="10"/>
    <s v="Schneider-Kreuznach Symmar-S 210mm f/5.6 "/>
    <m/>
  </r>
  <r>
    <x v="158"/>
    <x v="148"/>
    <s v="Self - Unicolor C41 Kit"/>
    <s v="Self - Epson V700"/>
    <s v="did not have enough developer in so there are streaks showing uneven development. Also still have scratches on the negatives"/>
    <m/>
    <s v="Loaded 2 sheets in film holder C1/C2. Shots of Vi in home studio setup"/>
    <s v="Fujifilm"/>
    <s v="NPS 160"/>
    <s v="4x5"/>
    <m/>
    <x v="10"/>
    <s v="Schneider-Kreuznach Symmar-S 210mm f/5.6 "/>
    <m/>
  </r>
  <r>
    <x v="158"/>
    <x v="148"/>
    <s v="Self - Unicolor C41 Kit"/>
    <s v="Self - Epson V700"/>
    <m/>
    <m/>
    <s v="Took it out to check if it was winding on properly after the second frame. Might have frame spacing issues"/>
    <s v="Lomography"/>
    <s v="CN 400"/>
    <s v="120 - 6x6"/>
    <m/>
    <x v="14"/>
    <s v="CF 150mm f/4 Sonnar"/>
    <m/>
  </r>
  <r>
    <x v="159"/>
    <x v="149"/>
    <s v="Self - Unicolor C41 Kit"/>
    <s v="Self - OpticFilm 7600i"/>
    <s v="Probably didn't agitate enough at beginning of development cycle because there are vertical streaks along negatives that show up in scans"/>
    <m/>
    <m/>
    <s v="Fujifilm"/>
    <n v="400"/>
    <n v="135"/>
    <m/>
    <x v="9"/>
    <s v="AF-D 50mm f1.4"/>
    <m/>
  </r>
  <r>
    <x v="159"/>
    <x v="150"/>
    <s v="Lab - McBain"/>
    <s v="Self - OpticFilm 7600i"/>
    <m/>
    <s v="scans from lab were VERY crunchy, more neutral scanning at home"/>
    <m/>
    <s v="Harman"/>
    <s v="Phoenix 200"/>
    <n v="135"/>
    <m/>
    <x v="9"/>
    <s v="AF-D 50mm f1.4"/>
    <m/>
  </r>
  <r>
    <x v="160"/>
    <x v="150"/>
    <s v="Self - Unicolor C41 Kit"/>
    <s v="Self - Epson V700"/>
    <s v="Negatives were a little dense"/>
    <m/>
    <s v="Keegan at Red Room Studio"/>
    <s v="Fujifilm"/>
    <s v="Pro 400H"/>
    <s v="120 - 6x7"/>
    <m/>
    <x v="11"/>
    <s v="Pentax Super Multi Coated Takumar 105mm f/2.4"/>
    <m/>
  </r>
  <r>
    <x v="161"/>
    <x v="151"/>
    <s v="Self - Unicolor C41 Kit"/>
    <s v="Self - Epson V700"/>
    <m/>
    <m/>
    <s v="Chev and Jordyn in Void Studio roll 1"/>
    <s v="Kodak"/>
    <s v="Portra 400"/>
    <s v="120 - 6x7"/>
    <m/>
    <x v="11"/>
    <s v="Pentax Super Multi Coated Takumar 105mm f/2.4 &amp; SMC Pentax 165mm f/4 LS"/>
    <m/>
  </r>
  <r>
    <x v="161"/>
    <x v="151"/>
    <s v="Self - Rodinal"/>
    <s v="Self - Epson V700"/>
    <m/>
    <m/>
    <s v="Chev and Jordyn in Void Studio roll 2"/>
    <s v="Ilford"/>
    <s v="Ortho 80 Plus"/>
    <s v="120 - 6x7"/>
    <m/>
    <x v="11"/>
    <s v="Pentax Super Multi Coated Takumar 105mm f/2.4 &amp; SMC Pentax 165mm f/4 LS"/>
    <m/>
  </r>
  <r>
    <x v="162"/>
    <x v="152"/>
    <s v="Lab - McBain"/>
    <s v="Self - OpticFilm 7600i"/>
    <m/>
    <m/>
    <s v="Trip to ghana start in EIA. I was not on my game with this roll lmao"/>
    <s v="Kodak"/>
    <s v="Gold 200"/>
    <n v="135"/>
    <m/>
    <x v="16"/>
    <s v="Built-in"/>
    <m/>
  </r>
  <r>
    <x v="163"/>
    <x v="153"/>
    <s v="Lab - McBain"/>
    <s v="Self - OpticFilm 7600i"/>
    <m/>
    <m/>
    <s v="Ghana roll 2. AF-1 metering really surprised me here. Lots of keepers"/>
    <s v="Harman"/>
    <s v="Phoenix 200"/>
    <n v="135"/>
    <m/>
    <x v="16"/>
    <s v="Built-in"/>
    <m/>
  </r>
  <r>
    <x v="164"/>
    <x v="154"/>
    <s v="Self - Unicolor C41 Kit"/>
    <s v="Self - DSLR Scan"/>
    <s v="Developed with roll of pro 400h from jan 11th. This one seems to look good as far as density and colors"/>
    <s v="Very dusty. Rescanned with dslr scanning setup  and it's much better_x000a_Nikon ZF, 60mm macro, Pixl-Latr, Godox Light Panel"/>
    <s v="Ghana roll 3"/>
    <s v="Cinestill"/>
    <s v="50D"/>
    <s v="120 - 645"/>
    <m/>
    <x v="6"/>
    <s v="Built-in"/>
    <m/>
  </r>
  <r>
    <x v="165"/>
    <x v="155"/>
    <s v="Lab - McBain"/>
    <s v="Self - OpticFilm 7600i"/>
    <m/>
    <m/>
    <s v="Ghana roll 4"/>
    <s v="Kodak"/>
    <s v="Gold 200"/>
    <n v="135"/>
    <m/>
    <x v="16"/>
    <s v="Built-in"/>
    <m/>
  </r>
  <r>
    <x v="166"/>
    <x v="45"/>
    <s v="Self - Unicolor C41 Kit"/>
    <s v="Self - Epson V700"/>
    <s v="Might've been fogged by the x-ray, or I underexposed, or the developer wasn't at the right temp"/>
    <s v="Grainy and lots of color weirdness"/>
    <s v="Steph at Linda's home studio roll 2. Rated at 200 mostly"/>
    <s v="Fujifilm"/>
    <s v="Pro 400H"/>
    <s v="120 - 6x7"/>
    <m/>
    <x v="11"/>
    <s v="Pentax Super Multi Coated Takumar 105mm f/2.4"/>
    <m/>
  </r>
  <r>
    <x v="166"/>
    <x v="45"/>
    <s v="Self - Rodinal"/>
    <s v="Self - Epson V700"/>
    <s v="Developed for 8.5 mins. Gonna be very contrasting as they look dens around skin tones"/>
    <m/>
    <s v="Steph at Linda's home studio roll 3. Rated at box but may be under exposed. Might need to push it"/>
    <s v="Fujifilm"/>
    <s v="Neopan Acros 100"/>
    <s v="120 - 6x7"/>
    <s v="Push - 1"/>
    <x v="11"/>
    <s v="Pentax Super Multi Coated Takumar 105mm f/2.4"/>
    <m/>
  </r>
  <r>
    <x v="167"/>
    <x v="156"/>
    <s v="Self - Unicolor C41 Kit"/>
    <s v="Self - Epson V700"/>
    <m/>
    <m/>
    <s v="Vik at Linda's home studio. Rated at like iso 200 lol"/>
    <s v="Lomography"/>
    <s v="CN 800"/>
    <s v="120 - 6x6"/>
    <m/>
    <x v="8"/>
    <s v="Built-in"/>
    <m/>
  </r>
  <r>
    <x v="168"/>
    <x v="157"/>
    <s v="Self - Unicolor C41 Kit"/>
    <s v="Self - DSLR Scan"/>
    <s v="Negative density looks good at 100 and 50"/>
    <s v="Process was taking 4 shots of each negative then sliding along. Scanning in, it looks like 100 might be a bit under exposed_x000a_Nikon ZF, 105mm macro, Pixl-Latr, Ipad"/>
    <s v="Arina in U of A photo studio.  Rated between box speed and 1 stop over"/>
    <s v="Kodak"/>
    <s v="Portra 100T"/>
    <s v="120 - 6x7"/>
    <m/>
    <x v="11"/>
    <s v="Pentax Super Multi Coated Takumar 105mm f/2.4"/>
    <m/>
  </r>
  <r>
    <x v="169"/>
    <x v="158"/>
    <s v="Self - Unicolor C41 Kit"/>
    <s v="Self - DSLR Scan"/>
    <s v="Developed for 3:30 worked out well"/>
    <m/>
    <s v="Rated at ISO 100 and density looks good. Doesn't appear to be too x-ray damaged_x000a_Nikon ZF, 105mm macro, Pixl-Latr, Ipad"/>
    <s v="Lomography"/>
    <s v="CN 400"/>
    <s v="120 - 6x7"/>
    <m/>
    <x v="11"/>
    <s v="SMC Pentax 165mm f/4 LS"/>
    <m/>
  </r>
  <r>
    <x v="170"/>
    <x v="159"/>
    <s v="Self - Unicolor C41 Kit"/>
    <s v="Self - OpticFilm 7600i"/>
    <m/>
    <m/>
    <s v="Calgary trip. Might've been xray damaged. Had weird color noise in the scans"/>
    <s v="Harman"/>
    <s v="Phoenix 200"/>
    <n v="135"/>
    <m/>
    <x v="16"/>
    <s v="Built-in"/>
    <m/>
  </r>
  <r>
    <x v="170"/>
    <x v="160"/>
    <s v="Self - Unicolor E6 Kit"/>
    <s v="Self - DSLR Scan"/>
    <m/>
    <s v="Turned out really great. Metering was spot on pretty much"/>
    <s v="Calgary skyline"/>
    <s v="Kodak"/>
    <s v="Ektachrome E100"/>
    <s v="120 - 6x7"/>
    <m/>
    <x v="11"/>
    <s v="Pentax Super Multi Coated Takumar 105mm f/2.4"/>
    <m/>
  </r>
  <r>
    <x v="171"/>
    <x v="161"/>
    <s v="Self - Unicolor C41 Kit"/>
    <s v="Self - Epson V700"/>
    <m/>
    <s v="Colors came out kinda meh. Could've used an extra stop of light"/>
    <s v="Michaela Banff"/>
    <s v="Fujifilm"/>
    <s v="Pro 400H"/>
    <s v="120 - 6x7"/>
    <m/>
    <x v="11"/>
    <s v="Pentax Super Multi Coated Takumar 105mm f/2.4"/>
    <m/>
  </r>
  <r>
    <x v="171"/>
    <x v="159"/>
    <s v="Self - Rodinal"/>
    <s v="Self - DSLR Scan"/>
    <s v="Developed for 16 mins in rodinal 1+50, fixed for 5 mins. Looks like base is a little fogged from x-ray damage"/>
    <s v="Lots of basee fog made for pretty rough scans._x000a_Nikon ZF, 60mm macro, Pixl-Latr, Godox Light Panel"/>
    <s v="Start at Banff end at u of c portrait shoot. maybe push to 800 "/>
    <s v="Ilford"/>
    <s v="HP5+"/>
    <s v="120 - 6x7"/>
    <s v="Push - 1"/>
    <x v="11"/>
    <s v="Pentax Super Multi Coated Takumar 105mm f/2.4"/>
    <m/>
  </r>
  <r>
    <x v="172"/>
    <x v="159"/>
    <s v="Self - Unicolor C41 Kit"/>
    <s v="Self - DSLR Scan"/>
    <m/>
    <s v="Nikon ZF, 60mm macro, Pixl-Latr, Godox Light Panel. Still getting light bleed"/>
    <s v="Portrait shoot with Amy at U of C roll 2"/>
    <s v="Lomography"/>
    <s v="CN 800"/>
    <s v="120 - 6x7"/>
    <m/>
    <x v="11"/>
    <s v="Pentax Super Multi Coated Takumar 105mm f/2.4"/>
    <m/>
  </r>
  <r>
    <x v="172"/>
    <x v="159"/>
    <s v="Self - Unicolor C41 Kit"/>
    <s v="Self - DSLR Scan"/>
    <m/>
    <s v="Nikon ZF, 60mm macro, Pixl-Latr, Godox Light Panel. Still getting light bleed"/>
    <s v="Amy roll 3 near sunset"/>
    <s v="Cinestill"/>
    <s v="50D"/>
    <s v="120 - 6x7"/>
    <m/>
    <x v="11"/>
    <s v="Pentax Super Multi Coated Takumar 105mm f/2.4"/>
    <m/>
  </r>
  <r>
    <x v="173"/>
    <x v="162"/>
    <s v="Self - Unicolor C41 Kit"/>
    <s v="Self - OpticFilm 7600i"/>
    <m/>
    <s v="this MIGHT be portra 800"/>
    <s v="bears hockey, with +1 exposure comp because of ice"/>
    <s v="Flicfilm"/>
    <s v="Aurora 800"/>
    <n v="135"/>
    <m/>
    <x v="9"/>
    <s v="Nikon 180mm f/2.8D"/>
    <m/>
  </r>
  <r>
    <x v="174"/>
    <x v="163"/>
    <s v="Self - Unicolor E6 Kit"/>
    <s v="Self - DSLR Scan"/>
    <m/>
    <s v="Not a lot of good ones here, heavy magenta cast"/>
    <s v="attempt to shoot with godox lux junior flash has been mostly unsuccessful. Jammed on last shot"/>
    <s v="Kodak"/>
    <s v="E100 SW"/>
    <s v="120 - 6x6"/>
    <m/>
    <x v="8"/>
    <s v="Built-in"/>
    <m/>
  </r>
  <r>
    <x v="175"/>
    <x v="164"/>
    <s v="Self - Unicolor C41 Kit"/>
    <s v="Self - DSLR Scan"/>
    <s v="developed for 3:45. Density still good"/>
    <m/>
    <s v="Steph in Linda's studio, chinese new year. Rated around 200 iso"/>
    <s v="Fujifilm"/>
    <s v="NPZ 800Z"/>
    <s v="120 - 6x6"/>
    <m/>
    <x v="14"/>
    <s v="CF 150mm f/4 Sonnar"/>
    <m/>
  </r>
  <r>
    <x v="176"/>
    <x v="165"/>
    <s v="Self - Rodinal"/>
    <s v="Self - OpticFilm 7600i"/>
    <s v="developed for 6 mins 1+25. seems very grainy but contrast seems about right for hp5 at 400"/>
    <s v="Lol this summar is so soft and glowy, but functionally the camera is fine"/>
    <s v="Test roll"/>
    <s v="Ilford"/>
    <s v="HP5+"/>
    <n v="135"/>
    <m/>
    <x v="17"/>
    <s v="Leitz Summar 5cm f/2"/>
    <m/>
  </r>
  <r>
    <x v="177"/>
    <x v="166"/>
    <s v="Self - Unicolor C41 Kit"/>
    <s v="Self - DSLR Scan"/>
    <m/>
    <s v="wow these are shit. Gonna rescan with some adjustments"/>
    <s v="Hery roll 1. Rated at 100"/>
    <s v="Kodak"/>
    <s v="Portra 400 NC"/>
    <s v="120 - 6x7"/>
    <m/>
    <x v="11"/>
    <s v="Pentax Super Multi Coated Takumar 105mm f/2.4"/>
    <m/>
  </r>
  <r>
    <x v="177"/>
    <x v="166"/>
    <s v="Self - Unicolor E6 Kit"/>
    <s v="Self - DSLR Scan"/>
    <s v="heavy blue cast, but otherwise solid"/>
    <m/>
    <s v="Hery roll 2. Might not turn out"/>
    <s v="Kodak"/>
    <s v="Ektachrome E100 SW"/>
    <s v="120 - 6x7"/>
    <m/>
    <x v="11"/>
    <s v="Pentax Super Multi Coated Takumar 105mm f/2.4"/>
    <m/>
  </r>
  <r>
    <x v="178"/>
    <x v="167"/>
    <s v="Self - Unicolor C41 Kit"/>
    <s v="Self - OpticFilm 7600i"/>
    <m/>
    <s v="Could be orwo nc500 or something. Very desaturated and grainy"/>
    <m/>
    <s v="StreetCandy "/>
    <s v="Psychadelic Street 400"/>
    <n v="135"/>
    <m/>
    <x v="9"/>
    <s v="AF-D 50mm f1.4, vivitar 70-210mm f/2.8-f/4, and nikon 28mm f/1.8g"/>
    <m/>
  </r>
  <r>
    <x v="178"/>
    <x v="168"/>
    <s v="Self - Unicolor C41 Kit"/>
    <s v="Self - DSLR Scan"/>
    <m/>
    <m/>
    <s v="Shots around edmonton and elk island. Finished with Karen and ben"/>
    <s v="Kodak"/>
    <s v="Vericolor VPS 160"/>
    <s v="220 - 6x6"/>
    <m/>
    <x v="8"/>
    <m/>
    <m/>
  </r>
  <r>
    <x v="179"/>
    <x v="168"/>
    <s v="Self - Unicolor E6 Kit"/>
    <s v="Self - DSLR Scan"/>
    <s v="Very good density mostly"/>
    <m/>
    <s v="Loaded in D1/D2. Shots of Karen and Ben rated at ISO 50"/>
    <s v="Fujifilm"/>
    <s v="NPS 160"/>
    <s v="4x5"/>
    <m/>
    <x v="10"/>
    <s v="Schneider-Kreuznach Symmar-S 210mm f/5.6 "/>
    <m/>
  </r>
  <r>
    <x v="179"/>
    <x v="168"/>
    <s v="Self - Unicolor E6 Kit"/>
    <s v="Self - Epson V700"/>
    <s v="Incredibly fogged with strong purple cast and light leaks. Still scratches on negatives"/>
    <m/>
    <s v="Loaded in B/No. Shots of Karen and Ben"/>
    <s v="Kodak"/>
    <s v="Ektachrome 64T"/>
    <s v="4x5"/>
    <m/>
    <x v="10"/>
    <s v="Schneider-Kreuznach Symmar-S 210mm f/5.6 "/>
    <m/>
  </r>
  <r>
    <x v="180"/>
    <x v="169"/>
    <s v="Self - Unicolor C41 Kit"/>
    <m/>
    <m/>
    <m/>
    <s v="Camera stopped winding after shot 13. not much there"/>
    <s v="Kodak"/>
    <s v="Gold 200"/>
    <n v="135"/>
    <m/>
    <x v="18"/>
    <s v="Canon LTM 50mm f/1.4"/>
    <m/>
  </r>
  <r>
    <x v="181"/>
    <x v="170"/>
    <s v="Self - Unicolor C41 Kit"/>
    <s v="Self - OpticFilm 7600i"/>
    <m/>
    <m/>
    <s v="Looks very nice :)"/>
    <s v="Kodak"/>
    <s v="Gold 200"/>
    <n v="135"/>
    <m/>
    <x v="17"/>
    <s v="Canon LTM 50mm f/1.4"/>
    <m/>
  </r>
  <r>
    <x v="182"/>
    <x v="171"/>
    <s v="Self - Unicolor E6 Kit"/>
    <s v="Self - OpticFilm 7600i"/>
    <m/>
    <s v="Very heavy magenta cast. But overall, it seems to work quite well"/>
    <m/>
    <s v="Fujifilm"/>
    <s v="Sensia 100"/>
    <n v="135"/>
    <m/>
    <x v="17"/>
    <s v="Canon LTM 50mm f/1.4"/>
    <m/>
  </r>
  <r>
    <x v="183"/>
    <x v="172"/>
    <s v="Lab - McBain"/>
    <s v="Lab - McBain"/>
    <m/>
    <m/>
    <s v="Shots of Seray, street shots, then shots of steph at linda's"/>
    <s v="Flicfilm"/>
    <s v="Aurora 800"/>
    <n v="135"/>
    <m/>
    <x v="17"/>
    <s v="Canon LTM 50mm f/1.4"/>
    <m/>
  </r>
  <r>
    <x v="183"/>
    <x v="171"/>
    <s v="Self - Unicolor E6 Kit"/>
    <s v="Self - DSLR Scan"/>
    <s v="Quite a strong magenta cast, however it is easily corrected. Only 9 photos shot though"/>
    <s v="CS-Lite works wonderfully with this"/>
    <s v="I did not give these my all. Photos of Seray. Edit: They actually slay"/>
    <s v="Fujifilm"/>
    <s v="Astia 100F"/>
    <s v="120 - 6x7"/>
    <m/>
    <x v="11"/>
    <s v="Pentax Super Multi Coated Takumar 105mm f/2.4"/>
    <m/>
  </r>
  <r>
    <x v="184"/>
    <x v="172"/>
    <s v="Self - Rodinal"/>
    <s v="Self - OpticFilm 7600i"/>
    <s v="Developed for 6.5 mins, fixed for 5 mins. Not too grainy, nice contrast"/>
    <s v="Lots of dust. Might clean up and rescan"/>
    <s v="Shots of steph at linda's bts"/>
    <s v="Fujifilm"/>
    <s v="Neopan Acros II"/>
    <n v="135"/>
    <m/>
    <x v="17"/>
    <s v="Canon LTM 50mm f/1.4"/>
    <m/>
  </r>
  <r>
    <x v="184"/>
    <x v="172"/>
    <s v="Self - Unicolor C41 Kit"/>
    <s v="Self - DSLR Scan"/>
    <s v="Strong red/magenta tint. Tried a different way of heating up developer and might have overcooked it"/>
    <m/>
    <s v="Shots of steph at linda's"/>
    <s v="Cinestill"/>
    <s v="400D"/>
    <s v="120 - 6x7"/>
    <m/>
    <x v="11"/>
    <s v="Pentax Super Multi Coated Takumar 105mm f/2.4"/>
    <m/>
  </r>
  <r>
    <x v="185"/>
    <x v="173"/>
    <s v="Self - Rodinal"/>
    <s v="Self - DSLR Scan"/>
    <s v="Developed for 18 mins with inversions every minute. Density looks good, however there are odd streaks"/>
    <m/>
    <s v="2 shots in film holder B/Nait of Leica m6 testing exposure. Rated at 400 and 200. density of ISO 400 film looks reasonable"/>
    <s v="Ilford"/>
    <s v="XP"/>
    <s v="4x5"/>
    <m/>
    <x v="19"/>
    <s v="Rodenstock 210mm f/5.6"/>
    <m/>
  </r>
  <r>
    <x v="185"/>
    <x v="173"/>
    <s v="Self - Unicolor C41 Kit"/>
    <m/>
    <s v="Developed for about 4.5 mins"/>
    <m/>
    <s v="2 shots of max in film holder b/no. "/>
    <s v="Ilford"/>
    <s v="XP"/>
    <s v="4x5"/>
    <m/>
    <x v="19"/>
    <s v="Rodenstock 210mm f/5.6"/>
    <m/>
  </r>
  <r>
    <x v="185"/>
    <x v="173"/>
    <s v="Self - Unicolor C41 Kit"/>
    <s v="Self - DSLR Scan"/>
    <s v="Developed for 4.5 mins. Negatives seem a little fogged"/>
    <m/>
    <s v="2 shots in film holder D"/>
    <s v="Ilford"/>
    <s v="XP"/>
    <s v="4x5"/>
    <m/>
    <x v="19"/>
    <s v="Rodenstock 210mm f/5.6"/>
    <m/>
  </r>
  <r>
    <x v="186"/>
    <x v="174"/>
    <s v="Self - Unicolor C41 Kit"/>
    <s v="Self - DSLR Scan"/>
    <s v="Exposure seems a little inconsistent"/>
    <m/>
    <s v="Elena + random street"/>
    <s v="Harman"/>
    <s v="Phoenix 200"/>
    <n v="135"/>
    <m/>
    <x v="17"/>
    <s v="Canon LTM 50mm f/1.4"/>
    <m/>
  </r>
  <r>
    <x v="186"/>
    <x v="175"/>
    <s v="Self - Rodinal"/>
    <s v="Self - DSLR Scan"/>
    <s v="Developed for 6.5 mins"/>
    <m/>
    <s v="Elena shoot"/>
    <s v="Fujifilm"/>
    <s v="Neopan Acros 100"/>
    <s v="120 - 6x7"/>
    <m/>
    <x v="11"/>
    <s v="Pentax Super Multi Coated Takumar 105mm f/2.4"/>
    <m/>
  </r>
  <r>
    <x v="187"/>
    <x v="174"/>
    <s v="Self - Unicolor C41 Kit"/>
    <s v="Self - DSLR Scan"/>
    <s v="Turned out nice"/>
    <m/>
    <s v="Street shots with film homies"/>
    <s v="Kodak"/>
    <s v="Gold 200"/>
    <n v="135"/>
    <m/>
    <x v="17"/>
    <s v="Canon LTM 50mm f/1.4 &amp; Voigtlander 35mm f/2.5"/>
    <m/>
  </r>
  <r>
    <x v="187"/>
    <x v="176"/>
    <s v="Self - Rodinal"/>
    <s v="Self - OpticFilm 7600i"/>
    <s v="Developed for 5 mins 1+25 for conveinince developing with foma 200. ended up pretty contrasty. Also did not add enough developer so we have a weird streak on the top"/>
    <m/>
    <s v="Started with street shots. Some light leaks on first few frames from messing up loading probably"/>
    <s v="Foma"/>
    <s v="Fomapan 200"/>
    <n v="135"/>
    <m/>
    <x v="17"/>
    <s v="Canon LTM 50mm f/1.4"/>
    <m/>
  </r>
  <r>
    <x v="188"/>
    <x v="176"/>
    <s v="Self - Rodinal"/>
    <s v="Self - OpticFilm 7600i"/>
    <s v="Developed for 5 mins 1+25"/>
    <m/>
    <s v="second test attempt. Camera works. Speeds seem trust worthy"/>
    <s v="Foma"/>
    <s v="Fomapan 100"/>
    <n v="135"/>
    <m/>
    <x v="18"/>
    <s v="Canon LTM 50mm f/1.4"/>
    <m/>
  </r>
  <r>
    <x v="189"/>
    <x v="177"/>
    <s v="Self - Ilford DD-X"/>
    <s v="Self - DSLR Scan"/>
    <s v="Developed for 9.5 mins 1+4  and fixed for 5 mins. Density is meh. Grain looks fine though"/>
    <m/>
    <s v="Hery shots from concert and my shots with Tay and from fashion show"/>
    <s v="Ilford"/>
    <s v="Delta 3200"/>
    <n v="135"/>
    <m/>
    <x v="16"/>
    <m/>
    <m/>
  </r>
  <r>
    <x v="190"/>
    <x v="178"/>
    <s v="Self - Unicolor C41 Kit"/>
    <s v="Self - DSLR Scan"/>
    <s v="a little flatter than I expect for gold 200. "/>
    <s v="Lots of dust and scratches"/>
    <s v="Test of 90mm f/4. Lots of missed focus on this one. Could be a lens issue. Will see"/>
    <s v="Kodak"/>
    <s v="Gold 200"/>
    <n v="135"/>
    <m/>
    <x v="17"/>
    <s v="Minolta M-Rokkor 90mm f/4"/>
    <m/>
  </r>
  <r>
    <x v="191"/>
    <x v="179"/>
    <s v="Self - Rodinal"/>
    <s v="Self - DSLR Scan"/>
    <s v="Developed for 9 mins. Looks fine"/>
    <m/>
    <s v="Denise Test shots + photos of alysea"/>
    <s v="Ilford"/>
    <s v="FP4+"/>
    <s v="120 - 6x6"/>
    <m/>
    <x v="14"/>
    <s v="CF 150mm f/4 Sonnar"/>
    <m/>
  </r>
  <r>
    <x v="192"/>
    <x v="179"/>
    <s v="Self - Unicolor E6 Kit"/>
    <s v="Self - DSLR Scan"/>
    <s v="Density is maybe a little low. Chems might need to go"/>
    <m/>
    <s v="Photos of alysea in void studio"/>
    <s v="Kodak"/>
    <s v="Ektachrome E100"/>
    <s v="120 - 6x7"/>
    <m/>
    <x v="11"/>
    <s v="Pentax Super Multi Coated Takumar 105mm f/2.4"/>
    <m/>
  </r>
  <r>
    <x v="193"/>
    <x v="178"/>
    <s v="Self - Unicolor C41 Kit"/>
    <s v="Self - Epson V700"/>
    <s v="Had less prominent scratches the the first try developing, but still had issues loading "/>
    <m/>
    <s v="2 sheets loaded in B/No. Shots of Mary in studio. Rated at ISO 250"/>
    <s v="Cinestill"/>
    <s v="400D"/>
    <s v="4x5"/>
    <m/>
    <x v="10"/>
    <s v="Schneider-Kreuznach Symmar-S 210mm f/5.6 "/>
    <m/>
  </r>
  <r>
    <x v="193"/>
    <x v="178"/>
    <s v="Self - Unicolor C41 Kit"/>
    <s v="Self - Epson V700"/>
    <s v="Sad results. Film is very thin making it hard to load onto film holder, and it moved around during developing. On top of that there wasn't enough chemistry so both shots have weird streaks"/>
    <m/>
    <s v="2 sheets loaded in C1/C2. Shots of Mary in studio. Rated at ISO 250"/>
    <s v="Cinestill"/>
    <s v="400D"/>
    <s v="4x5"/>
    <m/>
    <x v="10"/>
    <s v="Schneider-Kreuznach Symmar-S 210mm f/5.6 "/>
    <m/>
  </r>
  <r>
    <x v="193"/>
    <x v="178"/>
    <s v="Self - Rodinal"/>
    <s v="Self - Epson V700"/>
    <s v="Developed for 6 mins. Came out great. Still have weird scratches on film tho"/>
    <m/>
    <s v="2 Sheets loaded in b4. Shots of Mary in studio, rated at is 64"/>
    <s v="Kodak"/>
    <s v="Tmax 100"/>
    <s v="4x5"/>
    <m/>
    <x v="10"/>
    <s v="Schneider-Kreuznach Symmar-S 210mm f/5.6 "/>
    <m/>
  </r>
  <r>
    <x v="194"/>
    <x v="180"/>
    <s v="Self - Unicolor C41 Kit"/>
    <s v="Self - DSLR Scan"/>
    <m/>
    <s v="Still got some vignetting around the negative"/>
    <s v="Shots downtown with Tay"/>
    <s v="Cinestill"/>
    <s v="800T"/>
    <s v="120 - 6x6"/>
    <m/>
    <x v="8"/>
    <s v="Built-in"/>
    <m/>
  </r>
  <r>
    <x v="195"/>
    <x v="181"/>
    <s v="Self - Unicolor C41 Kit"/>
    <s v="Self - DSLR Scan"/>
    <s v="developed with roll of aurora below"/>
    <m/>
    <s v="Shots with Courtney downtown + shots with lemon gang"/>
    <s v="Flicfilm"/>
    <s v="Elektra"/>
    <n v="135"/>
    <m/>
    <x v="17"/>
    <s v="Voigtlander Ultron 28mm f/2"/>
    <m/>
  </r>
  <r>
    <x v="196"/>
    <x v="181"/>
    <s v="Self - Rodinal"/>
    <s v="Self - DSLR Scan"/>
    <s v="Developed for 5.5 mins. Density looks alright"/>
    <m/>
    <s v="Must've loaded it wrong because first fram is cut off"/>
    <s v="Flicfilm"/>
    <s v="Ultrapan 400"/>
    <s v="120 - 6x6"/>
    <m/>
    <x v="20"/>
    <s v="80mm f/2.8"/>
    <m/>
  </r>
  <r>
    <x v="197"/>
    <x v="182"/>
    <s v="Self - Unicolor C41 Kit"/>
    <s v="Self - DSLR Scan"/>
    <s v="Developed with roll of elektra above"/>
    <m/>
    <s v="Shots with lemon gang and shots with Katelin"/>
    <s v="Flicfilm"/>
    <s v="Aurora 800"/>
    <n v="135"/>
    <m/>
    <x v="17"/>
    <s v="Voigtlander Ultron 28mm f/2"/>
    <m/>
  </r>
  <r>
    <x v="197"/>
    <x v="183"/>
    <s v="Self - Unicolor C41 Kit"/>
    <s v="Self - DSLR Scan"/>
    <s v="Developed for 3.5 mins. Pretty fogged but density is somewhat reasonable"/>
    <m/>
    <s v="Test shots on walk"/>
    <s v="Kodak"/>
    <s v="Portra 400 NC"/>
    <s v="120 - 6x6"/>
    <m/>
    <x v="20"/>
    <s v="80mm f/2.8"/>
    <m/>
  </r>
  <r>
    <x v="198"/>
    <x v="184"/>
    <s v="Self - Rodinal"/>
    <s v="Self - Epson V700"/>
    <s v="Developed for 6 mins, fixed for 5. looks good"/>
    <m/>
    <s v="2 sheets in d1/d2. Shots of Maddie in DT St. Albert"/>
    <s v="Kodak"/>
    <s v="Tmax 100"/>
    <s v="4x5"/>
    <m/>
    <x v="10"/>
    <s v="Rollei Heidosmat 150mm f/2.8"/>
    <m/>
  </r>
  <r>
    <x v="198"/>
    <x v="185"/>
    <s v="Self - Unicolor C41 Kit"/>
    <s v="Self - DSLR Scan"/>
    <s v="Developed with kodacolor from alex. No issues it seems"/>
    <m/>
    <s v="Expiry unknown. Rated at 200"/>
    <s v="Kodak"/>
    <s v="Max 800"/>
    <n v="135"/>
    <m/>
    <x v="17"/>
    <s v="Voigtlander Ultron 28mm f/2 &amp; Minolta M-Rokkor 90mm f/4"/>
    <m/>
  </r>
  <r>
    <x v="198"/>
    <x v="184"/>
    <s v="Self - Unicolor C41 Kit"/>
    <s v="Self - Epson V700"/>
    <s v="Less issues with development"/>
    <m/>
    <s v="2 sheets in film holders C1/C2. Shots of Maddie in downtown St. Albert with Heidosmat 150mm f/2.8. Slight light leak. Lens appears quite soft wide open"/>
    <s v="Cinestill"/>
    <s v="400D"/>
    <s v="4x5"/>
    <m/>
    <x v="10"/>
    <s v="Rollei Heidosmat 150mm f/2.8"/>
    <m/>
  </r>
  <r>
    <x v="199"/>
    <x v="186"/>
    <s v="Self - FlicFilm ECN-2 Kit"/>
    <s v="Self - DSLR Scan"/>
    <s v="Negatives appear to be not very dense. But that might be the nature of ecn-2"/>
    <m/>
    <s v="ended with shots at latitude 53 print swap and fontaine studio"/>
    <s v="Flicfilm"/>
    <s v="Vision 3 500T"/>
    <n v="135"/>
    <m/>
    <x v="17"/>
    <s v="Voigtlander Ultron 28mm f/2"/>
    <m/>
  </r>
  <r>
    <x v="200"/>
    <x v="187"/>
    <s v="Self - Unicolor C41 Kit"/>
    <s v="Self - Epson V700"/>
    <s v="Developed for 3.5 mins. Still pretty good"/>
    <m/>
    <s v="shots with jordyn at millcreek ravine. Rated at like iso 50, and results are great"/>
    <s v="Fujifilm"/>
    <s v="NPS 160"/>
    <s v="120 - 6x6"/>
    <m/>
    <x v="20"/>
    <s v="80mm f/2.8"/>
    <m/>
  </r>
  <r>
    <x v="201"/>
    <x v="188"/>
    <s v="Self - FlicFilm ECN-2 Kit"/>
    <s v="Self - DSLR Scan"/>
    <s v="Density is good. Still struggled with getting rid of remjet competely but it's looking better"/>
    <s v="I fuckin love these colors"/>
    <s v="ended with photos at the ukraine festival for jose"/>
    <s v="Flicfilm"/>
    <s v="Vision 3 500T"/>
    <n v="135"/>
    <m/>
    <x v="17"/>
    <s v="Voigtlander Ultron 28mm f/2"/>
    <m/>
  </r>
  <r>
    <x v="202"/>
    <x v="189"/>
    <s v="Self - Unicolor C41 Kit"/>
    <s v="Self - DSLR Scan"/>
    <s v="Developed for 3:45"/>
    <m/>
    <s v="Shots of Esme at Linda's studio. Rated between 100 and 50 iso. Expired in 97, results are respectable"/>
    <s v="Fujifilm"/>
    <s v="Reala 100"/>
    <s v="220 - 6x7"/>
    <m/>
    <x v="11"/>
    <s v="Pentax Super Multi Coated Takumar 105mm f/2.4"/>
    <m/>
  </r>
  <r>
    <x v="203"/>
    <x v="190"/>
    <s v="Self - Unicolor C41 Kit"/>
    <s v="Self - DSLR Scan"/>
    <m/>
    <m/>
    <s v="Isabella shoot with Yang and Josh. And  photos of Jose and Odessa in their home. This roll was pretty expired and prob should've been shot at 100"/>
    <s v="Fujifilm"/>
    <s v="Pro 400H"/>
    <s v="120 - 6x6"/>
    <m/>
    <x v="14"/>
    <s v="CF 80mm f/2.8 &amp; CF 150mm f/4 Sonnar"/>
    <m/>
  </r>
  <r>
    <x v="204"/>
    <x v="191"/>
    <s v="Self - Ilford DD-X"/>
    <s v="Self - DSLR Scan"/>
    <s v="Developed for 10 mins. Fixed for 5 mins"/>
    <m/>
    <s v="Test roll of 80mm f/2.8 and new back. Back is broken"/>
    <s v="Ilford"/>
    <s v="HP5+"/>
    <s v="120 - 6x6"/>
    <s v="Push - 1"/>
    <x v="14"/>
    <s v="CF 80mm f/2.8"/>
    <m/>
  </r>
  <r>
    <x v="205"/>
    <x v="190"/>
    <s v="Self - Unicolor C41 Kit"/>
    <s v="Self - Epson V700"/>
    <s v="Developed for  3:45. good density"/>
    <m/>
    <s v="2 sheets loaded in b1/b2. Jose and Odessa at home. Rated at iso 50 with strobes. No issues"/>
    <s v="Fujifilm"/>
    <s v="NPS 160"/>
    <s v="4x5"/>
    <m/>
    <x v="10"/>
    <s v="Rollei Heidosmat 150mm f/2.8"/>
    <m/>
  </r>
  <r>
    <x v="205"/>
    <x v="190"/>
    <s v="Self - Unicolor C41 Kit"/>
    <s v="Self - Epson V700"/>
    <s v="Developed for  3:45. good density"/>
    <m/>
    <s v="2 sheets loaded in c1/c2. Jose and Odessa at home. Rated at iso 50 with strobes. No issues"/>
    <s v="Fujifilm"/>
    <s v="NPS 160"/>
    <s v="4x5"/>
    <m/>
    <x v="10"/>
    <s v="Rollei Heidosmat 150mm f/2.8"/>
    <m/>
  </r>
  <r>
    <x v="205"/>
    <x v="190"/>
    <s v="Self - Rodinal"/>
    <s v="Self - Epson V700"/>
    <s v="Developed for 6 mins"/>
    <m/>
    <s v="2 sheets loaded in d1/d2. Jose and Odessa at  home. Rated around  ISO 64"/>
    <s v="Kodak"/>
    <s v="Tmax 100"/>
    <s v="4x5"/>
    <m/>
    <x v="10"/>
    <s v="Rollei Heidosmat 150mm f/2.8"/>
    <m/>
  </r>
  <r>
    <x v="206"/>
    <x v="188"/>
    <s v="Self - Unicolor C41 Kit"/>
    <s v="Self - DSLR Scan"/>
    <s v="Developed for 3.5 mins, density looks good and no werid color shifts yet. Developed with roll of harman phoenix"/>
    <m/>
    <s v="ukraine festival for jose"/>
    <s v="Cinestill"/>
    <s v="400D"/>
    <n v="135"/>
    <m/>
    <x v="17"/>
    <s v="Canon LTM 50mm f/1.4"/>
    <m/>
  </r>
  <r>
    <x v="207"/>
    <x v="192"/>
    <s v="Self - Unicolor C41 Kit"/>
    <s v="Self - DSLR Scan"/>
    <s v="Developed for 3.5 mins. A little crunchy for my liking"/>
    <m/>
    <s v="Calgary trip with Mary. Rated at iso 125 ish"/>
    <s v="Harman"/>
    <s v="Phoenix 200"/>
    <n v="135"/>
    <m/>
    <x v="17"/>
    <s v="Canon LTM 50mm f/1.4 &amp; Voigtlander Ultron 28mm f/2"/>
    <m/>
  </r>
  <r>
    <x v="207"/>
    <x v="192"/>
    <s v="Self - Unicolor C41 Kit"/>
    <s v="Self - DSLR Scan"/>
    <s v="Developed  for 3:50ish. Colors look  good, density might be a bit much"/>
    <s v="Fuckin beautiful"/>
    <s v="Portrait shoot on Calgary trip with Mary roll  1."/>
    <s v="Fujifilm"/>
    <s v="Pro 400H"/>
    <s v="120 - 6x7"/>
    <m/>
    <x v="21"/>
    <s v="Mamiya 90mm f/3.5 K/L"/>
    <m/>
  </r>
  <r>
    <x v="207"/>
    <x v="192"/>
    <s v="Self - Unicolor C41 Kit"/>
    <s v="Self - DSLR Scan"/>
    <s v="better than  prior attempts"/>
    <m/>
    <s v="Portrait shoot on Calgary trip with Mary roll  2. rated around iso 80"/>
    <s v="Whatevergraphy"/>
    <s v="RetroChrome 320"/>
    <s v="120 - 6x7"/>
    <m/>
    <x v="21"/>
    <s v="Mamiya 90mm f/3.5 K/L"/>
    <m/>
  </r>
  <r>
    <x v="208"/>
    <x v="193"/>
    <s v="Self - Unicolor C41 Kit"/>
    <s v="Self - DSLR Scan"/>
    <s v="Developed for 4 min. Density is great"/>
    <s v="Damn these  are sharp as fuck"/>
    <s v="Honey shots with Jada in her apartment. Rated at ISO 50ish with strobe"/>
    <s v="Fujifilm"/>
    <s v="NPS 160"/>
    <s v="120 - 6x7"/>
    <m/>
    <x v="21"/>
    <s v="Mamiya 90mm f/3.5 K/L"/>
    <m/>
  </r>
  <r>
    <x v="208"/>
    <x v="193"/>
    <s v="Self - Unicolor C41 Kit"/>
    <s v="Self - DSLR Scan"/>
    <s v="Touch of a magenta cast"/>
    <s v="Did 2 image stitch for last half, detail and grain is more pleasant when done like this imo"/>
    <s v="Casual shots with Jada in her apartment"/>
    <s v="Lomography"/>
    <s v="CN 800"/>
    <s v="120 - 6x7"/>
    <m/>
    <x v="21"/>
    <s v="Mamiya 90mm f/3.5 K/L"/>
    <m/>
  </r>
  <r>
    <x v="208"/>
    <x v="193"/>
    <s v="Self - FlicFilm C41 Kit"/>
    <s v="Self - DSLR Scan"/>
    <s v="Developed just dandy"/>
    <m/>
    <s v="Megan at St. Albert botanical garden"/>
    <s v="Kodak"/>
    <s v="Portra 100T"/>
    <s v="120 - 6x7"/>
    <m/>
    <x v="11"/>
    <s v="Pentax Super Multi Coated Takumar 105mm f/2.4"/>
    <m/>
  </r>
  <r>
    <x v="209"/>
    <x v="194"/>
    <s v="Self - Unicolor C41 Kit"/>
    <s v="Self - DSLR Scan"/>
    <s v="maybe a tad too dense"/>
    <s v="Jk. The scans look fine"/>
    <s v="Expiry unknown. Rated at 100"/>
    <s v="Fujifilm"/>
    <s v="Superia X-tra 400"/>
    <n v="135"/>
    <m/>
    <x v="17"/>
    <s v="Voigtlander Ultron  28mm f/2"/>
    <m/>
  </r>
  <r>
    <x v="210"/>
    <x v="195"/>
    <s v="Self - Rodinal"/>
    <s v="Self - Epson V700"/>
    <s v="Developed for 6 mins. 1 stop over exposure is def visible. But should be able to pull it back"/>
    <s v="doesn't get more satisfying than this"/>
    <s v="2 sheets in film holder c1/c2. Alex  in Terwillegar Dog Park. Rated around iso 64/50"/>
    <s v="Kodak"/>
    <s v="Tmax 100"/>
    <s v="4x5"/>
    <m/>
    <x v="10"/>
    <s v="Rollei Heidosmat 150mm f/2.8"/>
    <m/>
  </r>
  <r>
    <x v="210"/>
    <x v="195"/>
    <s v="Self - Rodinal"/>
    <s v="Self - Epson V700"/>
    <s v="Developed for 6 mins. 1 stop over exposure is def visible. But should be able to pull it back"/>
    <m/>
    <s v="2 sheets in film holder d1/d2. Alex in Terwillegar Dog Park. Rated around iso 64/50"/>
    <s v="Kodak"/>
    <s v="Tmax 100"/>
    <s v="4x5"/>
    <m/>
    <x v="10"/>
    <s v="Schneider-Kreuznach Symmar-S 210mm f/5.6 "/>
    <m/>
  </r>
  <r>
    <x v="210"/>
    <x v="195"/>
    <s v="Self - FlicFilm C41 Kit"/>
    <s v="Self - Epson V700"/>
    <s v="Density and colors are good"/>
    <m/>
    <s v="2 sheets in film holder B1/B2. Alex  in Terwillegar Dog Park. Rated at iso 250._x000a_Appeared to have loaded the film holder wrong or film shifted in holder so quite a bit of the top of the shots were missing"/>
    <s v="Cinestill"/>
    <s v="400D"/>
    <s v="4x5"/>
    <m/>
    <x v="10"/>
    <s v="Rollei Heidosmat 150mm f/2.8 &amp; Schneider-Kreuznach Symmar-S 210mm f/5.6"/>
    <m/>
  </r>
  <r>
    <x v="210"/>
    <x v="195"/>
    <s v="Self - FlicFilm C41 Kit"/>
    <s v="Self - Epson V700"/>
    <s v="maybe a tad too dense but was able to pul it back in the scan"/>
    <m/>
    <s v="2 sheets in B/No. Alex  in Terwillegar Dog Park. Rated at iso 50"/>
    <s v="Fujifilm"/>
    <s v="NPS 160"/>
    <s v="4x5"/>
    <m/>
    <x v="10"/>
    <s v="Rollei Heidosmat 150mm f/2.8 &amp; Schneider-Kreuznach Symmar-S 210mm f/5.6"/>
    <m/>
  </r>
  <r>
    <x v="211"/>
    <x v="196"/>
    <s v="Self - Ilford DD-X"/>
    <s v="Self - DSLR Scan"/>
    <m/>
    <s v="A little weirdness with some spots"/>
    <s v="Arina at home. Rated around ISO 100"/>
    <s v="Kodak"/>
    <s v="Plus-X Pan"/>
    <s v="120 - 6x7"/>
    <m/>
    <x v="21"/>
    <s v="Mamiya 90mm f/3.5 K/L &amp; 180mm f/4.5"/>
    <m/>
  </r>
  <r>
    <x v="212"/>
    <x v="197"/>
    <s v="Self - FlicFilm C41 Kit"/>
    <s v="Self - DSLR Scan"/>
    <s v="bangers"/>
    <m/>
    <s v="Stanley Cup Game 1"/>
    <s v="Cinestill"/>
    <s v="400D"/>
    <n v="135"/>
    <m/>
    <x v="17"/>
    <s v="Canon LTM 50mm f/1.4"/>
    <m/>
  </r>
  <r>
    <x v="212"/>
    <x v="198"/>
    <s v="Self - FlicFilm ECN-2 Kit"/>
    <s v="Self - DSLR Scan"/>
    <s v="Developed for 3:30, and it still looks good"/>
    <s v="still have troubles with scans"/>
    <s v="Stanley Cup Game 1 + Shots of Angelica"/>
    <s v="Flicfilm"/>
    <s v="Vision 3 500T"/>
    <n v="135"/>
    <m/>
    <x v="17"/>
    <s v="Canon LTM 50mm f/1.4"/>
    <m/>
  </r>
  <r>
    <x v="213"/>
    <x v="198"/>
    <s v="Self - FlicFilm ECN-2 Kit"/>
    <s v="Self - DSLR Scan"/>
    <m/>
    <s v="All things considered, it looked pretty good"/>
    <s v="Angelica in DT AirBNB roll 1"/>
    <s v="Kodak"/>
    <s v="Ektachrome E100"/>
    <s v="120 - 6x7"/>
    <m/>
    <x v="11"/>
    <s v="Pentax Super Multi Coated Takumar 105mm f/2.4"/>
    <m/>
  </r>
  <r>
    <x v="213"/>
    <x v="198"/>
    <s v="Self - FlicFilm C41 Kit"/>
    <s v="Self - DSLR Scan"/>
    <m/>
    <s v="Pretty damn good"/>
    <s v="Angelica in DT AirBNB roll 2"/>
    <s v="Cinestill"/>
    <s v="800T"/>
    <s v="120 - 6x7"/>
    <m/>
    <x v="11"/>
    <s v="Pentax Super Multi Coated Takumar 105mm f/2.4"/>
    <m/>
  </r>
  <r>
    <x v="213"/>
    <x v="198"/>
    <s v="Self - FlicFilm ECN-2 Kit"/>
    <s v="Self - DSLR Scan"/>
    <s v="Unfortunately couldn't get all the remjet off. Also probably needed to push this one stop since like half the shots are underexposed"/>
    <m/>
    <s v="Angelica in DT AirBNB roll 3"/>
    <s v="Reflex Lab "/>
    <s v="Vision 3 500T"/>
    <s v="120 - 6x7"/>
    <m/>
    <x v="11"/>
    <s v="Pentax Super Multi Coated Takumar 105mm f/2.4"/>
    <m/>
  </r>
  <r>
    <x v="214"/>
    <x v="199"/>
    <s v="Self - Ilford DD-X"/>
    <s v="Self - DSLR Scan"/>
    <s v="Developed for 13 mins in ddx 1+5. some shots are over cooked. I didn't finish the roll"/>
    <m/>
    <s v="Bts shots of Evie during trailer &amp; stanley cup game 4"/>
    <s v="Ilford"/>
    <s v="HP5+"/>
    <n v="135"/>
    <s v="Push - 2"/>
    <x v="17"/>
    <s v="Voigtlander Ultron  28mm f/2 &amp; Canon LTM 50mm f/1.4"/>
    <m/>
  </r>
  <r>
    <x v="215"/>
    <x v="199"/>
    <s v="Self - FlicFilm C41 Kit"/>
    <s v="Self - DSLR Scan"/>
    <s v="Looks pretty solid"/>
    <s v="first try with the valoi 135 holder. Pretty solid, just need to do a better job of blocking stray light"/>
    <s v="Stanley cup game 4"/>
    <s v="Fujifilm"/>
    <s v="Superia X-tra 400"/>
    <n v="135"/>
    <m/>
    <x v="17"/>
    <s v="Canon LTM 50mm f/1.4"/>
    <m/>
  </r>
  <r>
    <x v="216"/>
    <x v="200"/>
    <s v="Self - FlicFilm C41 Kit"/>
    <s v="Self - DSLR Scan"/>
    <m/>
    <s v="Strong green cast in converted negatives due to age, however NLP mostly clears it up"/>
    <s v="Photo walk with Hery, ended with stanley cup game 6 shots on whyte ave. Rated at iso 200"/>
    <s v="Kodak"/>
    <s v="Max 800"/>
    <n v="135"/>
    <m/>
    <x v="17"/>
    <s v="Canon LTM 50mm f/1.4"/>
    <m/>
  </r>
  <r>
    <x v="216"/>
    <x v="201"/>
    <s v="Self - FlicFilm C41 Kit"/>
    <s v="Self - DSLR Scan"/>
    <s v="good density, wasn't too expired"/>
    <s v="Scans look pretty damn good"/>
    <s v="Angelica in airbnb roll 1. Rated at ISO 50"/>
    <s v="Agfa"/>
    <s v="Portrait XPS 160"/>
    <s v="120 - 6x7 "/>
    <m/>
    <x v="21"/>
    <s v="Mamiya 90mm f/3.5 K/L &amp; 180mm f/4.5"/>
    <m/>
  </r>
  <r>
    <x v="216"/>
    <x v="201"/>
    <s v="Self - FlicFilm C41 Kit"/>
    <s v="Self - DSLR Scan"/>
    <s v="a fair bit of base fog but negative density is good"/>
    <s v="sooo sharp"/>
    <s v="Angelica in airbnb roll 2. Rated at ISO 50"/>
    <s v="Fujifilm"/>
    <s v="NPS 160"/>
    <s v="220 - 6x7"/>
    <m/>
    <x v="21"/>
    <s v="Mamiya 90mm f/3.5 K/L"/>
    <m/>
  </r>
  <r>
    <x v="217"/>
    <x v="202"/>
    <s v="Self - FlicFilm ECN-2 Kit"/>
    <s v="Self - DSLR Scan"/>
    <s v="Took quite a few kim wipes to get the remjet off but this was more successful"/>
    <s v="jk these are horrible. Underdeveloped and scratched to shit"/>
    <s v="Steph at Linda's place"/>
    <s v="Reflex Lab "/>
    <s v="Vision 3 500T"/>
    <s v="120 - 6x7"/>
    <m/>
    <x v="11"/>
    <s v="Pentax Super Multi Coated Takumar 105mm f/2.4"/>
    <m/>
  </r>
  <r>
    <x v="218"/>
    <x v="203"/>
    <s v="Self - FlicFilm ECN-2 Kit"/>
    <s v="Self - DSLR Scan"/>
    <s v="cleanest results so far. Developed for 3:30, some were underexposed"/>
    <m/>
    <s v="Photowalk with Elena"/>
    <s v="Reflex Lab "/>
    <s v="Vision 3 250D"/>
    <s v="120 - 6x6"/>
    <m/>
    <x v="14"/>
    <s v="CF 80mm f/2.8"/>
    <m/>
  </r>
  <r>
    <x v="219"/>
    <x v="200"/>
    <s v="Self - FlicFilm C41 Kit"/>
    <s v="Self - DSLR Scan"/>
    <m/>
    <s v="Looks good :)"/>
    <s v="Stanley cup game 6"/>
    <s v="Flicfilm"/>
    <s v="Aurora 800"/>
    <n v="135"/>
    <m/>
    <x v="17"/>
    <s v="Canon LTM 50mm f/1.4"/>
    <m/>
  </r>
  <r>
    <x v="220"/>
    <x v="204"/>
    <s v="Self - Unicolor C41 Kit"/>
    <s v="Self - DSLR Scan"/>
    <m/>
    <s v="Some miscoloration in the greys on some images"/>
    <s v="Zahra and Taylah Boxing shoot. Rated at 200 iso"/>
    <s v="Fujifilm"/>
    <s v="NPZ 800Z"/>
    <s v="120 - 6x7"/>
    <m/>
    <x v="11"/>
    <s v="Pentax Super Multi Coated Takumar 105mm f/2.4"/>
    <m/>
  </r>
  <r>
    <x v="221"/>
    <x v="205"/>
    <s v="Self - FlicFilm C41 Kit"/>
    <s v="Self - DSLR Scan"/>
    <s v="cross processed in C41 coz I had no hope. But all the remjet came off. Dumped it in hot water and wiped emulsion side with microfibre. Results weren't half bad tbh"/>
    <s v="Why do these look better than developing in ECN-2"/>
    <s v="Stanley cup game 7 + Nav bridal shoot"/>
    <s v="Flicfilm"/>
    <s v="Vision 3 250D"/>
    <n v="135"/>
    <m/>
    <x v="17"/>
    <s v="Voigtlander Ultron  28mm f/2 &amp; Canon LTM 50mm f/1.4"/>
    <m/>
  </r>
  <r>
    <x v="222"/>
    <x v="206"/>
    <s v="Self - FlicFilm C41 Kit"/>
    <s v="Self - DSLR Scan"/>
    <s v="This is what real film should look like :)"/>
    <s v="There seems to be some haze on the 127mm "/>
    <s v="Photo walk with Leanne"/>
    <s v="Kodak"/>
    <s v="Ektar 100"/>
    <s v="120 - 6x7"/>
    <m/>
    <x v="21"/>
    <s v="Mamiya 127mm f/3.5 K/L"/>
    <m/>
  </r>
  <r>
    <x v="223"/>
    <x v="207"/>
    <s v="Self - FlicFilm ECN-2 Kit"/>
    <s v="Self - DSLR Scan"/>
    <s v="I give up on ECN-2 tbh"/>
    <s v="Not double exposed but negatives are extremely damaged"/>
    <s v="Shoot with Lemon Gang roll 1. def double exposed the first frame a tonne"/>
    <s v="Reflex Lab "/>
    <s v="Vision 3 250D"/>
    <s v="120 - 6x6"/>
    <m/>
    <x v="20"/>
    <s v="80mm f/2.8"/>
    <m/>
  </r>
  <r>
    <x v="223"/>
    <x v="207"/>
    <s v="Self - Ilford DD-X"/>
    <s v="Self - DSLR Scan"/>
    <s v="Developed for 9:30. Pretty dense, probably shouldn't have overexposed as much"/>
    <m/>
    <s v="Shoot with lemon gang roll 2. hopefully no double exposure issues. But idk how I feel about the "/>
    <s v="Ilford"/>
    <s v="HP5+"/>
    <s v="120 - 6x6"/>
    <m/>
    <x v="20"/>
    <s v="80mm f/2.8"/>
    <m/>
  </r>
  <r>
    <x v="224"/>
    <x v="208"/>
    <s v="Self - FlicFilm C41 Kit"/>
    <s v="Self - DSLR Scan"/>
    <s v="Developed with a roll of fuji 200 from Alex. Color balance is really off"/>
    <m/>
    <s v="Nicole Grossman near accidental beach"/>
    <s v="Fujifilm"/>
    <n v="200"/>
    <n v="135"/>
    <m/>
    <x v="17"/>
    <s v="Canon LTM 50mm f/1.4"/>
    <m/>
  </r>
  <r>
    <x v="225"/>
    <x v="209"/>
    <s v="Self - FlicFilm C41 Kit"/>
    <s v="Self - DSLR Scan"/>
    <m/>
    <m/>
    <s v="Photo walk with Leanne pt 2"/>
    <s v="Flicfilm"/>
    <s v="Elektra"/>
    <n v="135"/>
    <m/>
    <x v="17"/>
    <s v="Voigtlander Ultron  28mm f/2 &amp; Canon LTM 50mm f/1.4"/>
    <m/>
  </r>
  <r>
    <x v="226"/>
    <x v="210"/>
    <s v="Self - FlicFilm C41 Kit"/>
    <s v="Self - DSLR Scan"/>
    <s v="developed with roll of aurora below"/>
    <s v="colors look good finally"/>
    <s v="Photo walk with maddy + shots of Alex Z in studio"/>
    <s v="Fujifilm"/>
    <n v="200"/>
    <n v="135"/>
    <m/>
    <x v="17"/>
    <s v="Voigtlander Ultron  28mm f/2 &amp; Canon LTM 50mm f/1.4"/>
    <m/>
  </r>
  <r>
    <x v="227"/>
    <x v="211"/>
    <s v="Self - FlicFilm C41 Kit"/>
    <s v="Self - DSLR Scan"/>
    <m/>
    <s v="had to stop down to f/16 when scanning to avoid the weird artifact at the stitch point"/>
    <s v="Pentax 6x7 pano kit test"/>
    <s v="Fujifilm"/>
    <n v="200"/>
    <s v="135 - Panorama"/>
    <m/>
    <x v="11"/>
    <s v="Pentax Super Multi Coated Takumar 105mm f/2.4"/>
    <m/>
  </r>
  <r>
    <x v="228"/>
    <x v="210"/>
    <s v="Self - Rodinal"/>
    <s v="Self - Epson V700"/>
    <m/>
    <m/>
    <s v="2 sheets in film holder b/no. Alex Zivko in home studio. Rated at iso 80"/>
    <s v="Kodak"/>
    <s v="Tmax 100"/>
    <s v="4x5"/>
    <m/>
    <x v="10"/>
    <m/>
    <m/>
  </r>
  <r>
    <x v="228"/>
    <x v="210"/>
    <s v="Self - Rodinal"/>
    <s v="Self - Epson V700"/>
    <s v="Developed for 6 mins. Turned out good"/>
    <m/>
    <s v="2 sheets in film holder c1/c2. Alex Zivko in home studio. Rated at iso 80"/>
    <s v="Kodak"/>
    <s v="Tmax 100"/>
    <s v="4x5"/>
    <m/>
    <x v="10"/>
    <s v="Rollei Heidosmat 150mm f/2.8"/>
    <m/>
  </r>
  <r>
    <x v="229"/>
    <x v="212"/>
    <s v="Self - FlicFilm C41 Kit"/>
    <s v="Self - DSLR Scan"/>
    <s v="Density is good"/>
    <s v="Colors look reasonable, and grain isn't unbearable"/>
    <s v="expired gold 100 test roll. Shot at ISO 50, with a few shots bracketed at 25"/>
    <s v="Kodak"/>
    <s v="Gold 100"/>
    <n v="135"/>
    <m/>
    <x v="17"/>
    <s v="Canon LTM 50mm f/1.4"/>
    <m/>
  </r>
  <r>
    <x v="230"/>
    <x v="212"/>
    <s v="Self - Ilford DD-X"/>
    <s v="Self - DSLR Scan"/>
    <s v="WOW IT WORKED. Developed for 12.5 mins @ 24C and density is goood"/>
    <m/>
    <s v="Alysea boudoir airbnb roll 1"/>
    <s v="Ilford"/>
    <s v="Kentmere 400"/>
    <s v="120 - 6x7"/>
    <s v="Push - 2"/>
    <x v="11"/>
    <s v="Pentax Super Multi Coated Takumar 105mm f/2.4"/>
    <m/>
  </r>
  <r>
    <x v="230"/>
    <x v="212"/>
    <s v="Self - FlicFilm C41 Kit"/>
    <s v="Self - DSLR Scan"/>
    <s v="Good density however colors seem to lean quite warm. Even warmer than I expect for gold"/>
    <m/>
    <s v="Alysea boudoir airbnb roll 2"/>
    <s v="Kodak"/>
    <s v="Gold 200"/>
    <s v="120 - 6x7"/>
    <m/>
    <x v="11"/>
    <s v="Pentax Super Multi Coated Takumar 105mm f/2.4"/>
    <m/>
  </r>
  <r>
    <x v="231"/>
    <x v="213"/>
    <s v="Self - FlicFilm C41 Kit"/>
    <s v="Self - DSLR Scan"/>
    <s v="Maybe a tad overexposed or overdeveloped"/>
    <s v="nvm it's ok"/>
    <s v="Loaded in c1/c2. Jordon and Sunny portraits in kitchen and on counter"/>
    <s v="Cinestill"/>
    <s v="400D"/>
    <s v="4x5"/>
    <m/>
    <x v="10"/>
    <m/>
    <m/>
  </r>
  <r>
    <x v="231"/>
    <x v="213"/>
    <s v="Self - FlicFilm C41 Kit"/>
    <s v="Self - Epson V700"/>
    <m/>
    <m/>
    <s v="Loaded in d1/d2. Jordon and Sunny portraits"/>
    <s v="Fujifilm"/>
    <s v="NPS 160"/>
    <s v="4x5"/>
    <m/>
    <x v="10"/>
    <m/>
    <m/>
  </r>
  <r>
    <x v="231"/>
    <x v="213"/>
    <s v="Self - Rodinal"/>
    <s v="Self - Epson V700"/>
    <m/>
    <m/>
    <s v="Loaded in A1/A2. Jordon portraits in his home office"/>
    <s v="Kodak"/>
    <s v="Tmax 100"/>
    <s v="4x5"/>
    <m/>
    <x v="10"/>
    <s v="Rollei Heidosmat 150mm f/2.8"/>
    <m/>
  </r>
  <r>
    <x v="231"/>
    <x v="213"/>
    <s v="Self - Rodinal"/>
    <s v="Self - Epson V700"/>
    <m/>
    <m/>
    <s v="Loaded in B4. Outdoor portraits of Jordon"/>
    <s v="Kodak"/>
    <s v="Tmax 100"/>
    <s v="4x5"/>
    <m/>
    <x v="10"/>
    <s v="Schneider-Kreuznach Symmar-S 210mm f/5.6 "/>
    <m/>
  </r>
  <r>
    <x v="231"/>
    <x v="213"/>
    <s v="Self - Ilford DD-X"/>
    <s v="Self - DSLR Scan"/>
    <s v="developed for 8 mins. Fixed for 5 mins. Some shots may be a little under exposed"/>
    <m/>
    <s v="Ashley with Crystal on high level bridge. Rated at 1600"/>
    <s v="Ilford"/>
    <s v="Delta 3200"/>
    <s v="120 - 6x7"/>
    <m/>
    <x v="11"/>
    <s v="Pentax Super Multi Coated Takumar 105mm f/2.4"/>
    <m/>
  </r>
  <r>
    <x v="232"/>
    <x v="214"/>
    <s v="Self - FlicFilm C41 Kit"/>
    <s v="Self - DSLR Scan"/>
    <s v="damn these are green ahh negatives"/>
    <s v="Scans look good tho. Could probably get away  with rating it at 100"/>
    <s v="12 exposure roll. Expired in 2010s Rated at iso 50"/>
    <s v="Fujifilm"/>
    <s v="Fujicolor 100"/>
    <n v="135"/>
    <m/>
    <x v="17"/>
    <s v="Canon LTM 50mm f/1.4"/>
    <m/>
  </r>
  <r>
    <x v="233"/>
    <x v="215"/>
    <s v="Self - FlicFilm C41 Kit"/>
    <s v="Self - DSLR Scan"/>
    <m/>
    <m/>
    <s v="started with uyghur photo walk"/>
    <s v="Flicfilm"/>
    <s v="Aurora 800"/>
    <n v="135"/>
    <m/>
    <x v="17"/>
    <s v="Canon LTM 50mm f/1.4"/>
    <m/>
  </r>
  <r>
    <x v="234"/>
    <x v="216"/>
    <s v="Self - FlicFilm C41 Kit"/>
    <s v="Self - DSLR Scan"/>
    <s v="Developed with another 120 roll of gold on the same reel and they ended up overlapping. Seems mostly ok though"/>
    <m/>
    <s v="Rock'n August 2024"/>
    <s v="Kodak"/>
    <s v="Gold 200"/>
    <s v="120 - 6x6"/>
    <m/>
    <x v="8"/>
    <s v="Built-in"/>
    <m/>
  </r>
  <r>
    <x v="235"/>
    <x v="217"/>
    <s v="Self - FlicFilm C41 Kit"/>
    <s v="Self - DSLR Scan"/>
    <m/>
    <m/>
    <s v="Mary Photo walk"/>
    <s v="Kodak"/>
    <s v="Gold 200"/>
    <s v="120 - 6x7"/>
    <m/>
    <x v="11"/>
    <s v="Pentax Super Multi Coated Takumar 105mm f/2.4"/>
    <m/>
  </r>
  <r>
    <x v="236"/>
    <x v="218"/>
    <s v="Self - FlicFilm C41 Kit"/>
    <s v="Self - DSLR Scan"/>
    <m/>
    <m/>
    <s v="rated at 50. finished with photos of Darya"/>
    <s v="Kodak"/>
    <s v="Gold 100"/>
    <n v="135"/>
    <m/>
    <x v="17"/>
    <s v="Canon LTM 50mm f/1.4"/>
    <m/>
  </r>
  <r>
    <x v="237"/>
    <x v="219"/>
    <s v="Lab - McBain"/>
    <s v="Lab - McBain"/>
    <m/>
    <m/>
    <s v="Fringe with Darya. Shots with Chevaugn random street"/>
    <s v="Flicfilm"/>
    <s v="Aurora 800"/>
    <n v="135"/>
    <m/>
    <x v="17"/>
    <s v="Canon LTM 50mm f/1.4"/>
    <m/>
  </r>
  <r>
    <x v="238"/>
    <x v="220"/>
    <s v="Self - FlicFilm C41 Kit"/>
    <s v="Self - Epson V700"/>
    <s v="developed for 3:45. Density still good"/>
    <m/>
    <s v="Loaded in c1/c2. Shoot with  Dhaksh"/>
    <s v="Fujifilm"/>
    <s v="NPS 160"/>
    <s v="4x5"/>
    <m/>
    <x v="10"/>
    <s v="Rollei Heidosmat 150mm f/2.8"/>
    <m/>
  </r>
  <r>
    <x v="238"/>
    <x v="220"/>
    <s v="Self - Rodinal"/>
    <s v="Self - Epson V700"/>
    <m/>
    <s v="dustier than usual but it's the same solid shit we expect from this combo"/>
    <s v="loaded in B1/Nait. Shoot with Dhaksh"/>
    <s v="Kodak"/>
    <s v="TMax 100"/>
    <s v="4x5"/>
    <m/>
    <x v="10"/>
    <s v="Schneider-Kreuznach Symmar-S 210mm f/5.6 "/>
    <m/>
  </r>
  <r>
    <x v="239"/>
    <x v="221"/>
    <s v="Self - FlicFilm C41 Kit"/>
    <s v="Self - DSLR Scan"/>
    <m/>
    <m/>
    <s v="Bestie bbq"/>
    <s v="Kodak"/>
    <s v="Gold 100"/>
    <n v="135"/>
    <m/>
    <x v="9"/>
    <s v="Nikon 28mm f/1.8g"/>
    <m/>
  </r>
  <r>
    <x v="240"/>
    <x v="222"/>
    <s v="Self - FlicFilm C41 Kit"/>
    <s v="Self - DSLR Scan"/>
    <s v=" Developed for 4:30. Pushing in c41 works… but not great. Finally figured out remjet removal tho :D"/>
    <s v="Most are still pretty under exposed, but the ones that worked have really nice colors and contrast in c41"/>
    <s v="Arina at rutherford house. I was optimistic with this one tbh"/>
    <s v="Reflex Lab "/>
    <s v="Vision 3 250D"/>
    <s v="120 - 6x7"/>
    <s v="Push - 1"/>
    <x v="11"/>
    <s v="Pentax Super Multi Coated Takumar 55mm f/3.5 &amp; Pentax Super Multi Coated Takumar 105mm f/2.4"/>
    <m/>
  </r>
  <r>
    <x v="241"/>
    <x v="223"/>
    <s v="Self - FlicFilm C41 Kit"/>
    <s v="Self - DSLR Scan"/>
    <s v="Developed for 3:30"/>
    <s v="well there's no dynamic range. But we knew that. However scanned with no color profile and linear or cinematic-log gamma, it's quite good on the one's that weren't leaked or heavily under exposed"/>
    <s v="Light leaks from loading badly. Lost the first 3 frames"/>
    <s v="Harman"/>
    <s v="Phoenix 200"/>
    <s v="135 - Panorama"/>
    <m/>
    <x v="11"/>
    <s v="Pentax Super Multi Coated Takumar 55mm f/3.5 &amp; Pentax Super Multi Coated Takumar 105mm f/2.4"/>
    <m/>
  </r>
  <r>
    <x v="242"/>
    <x v="224"/>
    <s v="Self - FlicFilm C41 Kit"/>
    <s v="Self - DSLR Scan"/>
    <s v="Developed for 4:45"/>
    <s v="Pretty heavey magenta cast. But density is pretty good"/>
    <s v="Ashmeet pole shoot at CEAPAC"/>
    <s v="Kodak"/>
    <s v="Portra 400"/>
    <s v="120 - 6x7"/>
    <s v="Push - 1"/>
    <x v="11"/>
    <s v="Pentax Super Multi Coated Takumar 55mm f/3.5 &amp; Pentax Super Multi Coated Takumar 105mm f/2.4"/>
    <m/>
  </r>
  <r>
    <x v="243"/>
    <x v="225"/>
    <s v="Self - FlicFilm C41 Kit"/>
    <s v="Self - DSLR Scan"/>
    <m/>
    <s v="Scanned with pixel shift getting entire frame in one shot using the pixl8r"/>
    <s v="Pentax panorama shots with Vasu and Kashish. Must've messed up placing the framing mask because framing was a bit higher than I envisioned most of the time"/>
    <s v="Kodak"/>
    <s v="Gold 100"/>
    <s v="135 - Panorama"/>
    <m/>
    <x v="11"/>
    <s v="Pentax Super Multi Coated Takumar 55mm f/3.5 &amp; Pentax Super Multi Coated Takumar 105mm f/2.4"/>
    <m/>
  </r>
  <r>
    <x v="244"/>
    <x v="226"/>
    <s v="Self - Rodinal"/>
    <s v="Self - DSLR Scan"/>
    <s v="Stand Developed for 1 hr at 1:100 dilution with inversions every 10 mins. Density looks good"/>
    <s v="Highkey grainy af "/>
    <s v="started wiith shoot with Courtney and Alex Marcu at Rice Howard way"/>
    <s v="Forte"/>
    <s v="Fortepan 200"/>
    <n v="135"/>
    <m/>
    <x v="17"/>
    <s v="Voigtlander Ultron  28mm f/2 &amp; Canon LTM 50mm f/1.4"/>
    <m/>
  </r>
  <r>
    <x v="245"/>
    <x v="227"/>
    <s v="Self - FlicFilm C41 Kit"/>
    <s v="Self - Epson V700"/>
    <s v="According to Jacy it's possible that the developing agent in the flicfilm eco kit causes issues with phoenix"/>
    <s v="First go with dslr scanning was incredibly unsuccessful no matter the settings. Epson v700 was slightly better with color reproduction but still not ideal"/>
    <s v="Mary portrait shoot roll 1"/>
    <s v="Harman"/>
    <s v="Phoenix 200"/>
    <s v="120 - 6x7"/>
    <m/>
    <x v="11"/>
    <s v="Pentax Super Multi Coated Takumar 105mm f/2.4"/>
    <m/>
  </r>
  <r>
    <x v="245"/>
    <x v="227"/>
    <s v="Self - FlicFilm C41 Kit"/>
    <s v="Self - DSLR Scan"/>
    <s v="ECN-2 Prebath for 10 seconds then quickly wash. Developed for 3:30. A lot cleaner, still some scratches and more dust than usual but so much better results"/>
    <m/>
    <s v="Mary portrait shoot roll 2"/>
    <s v="Reflex Lab "/>
    <s v="Vision 3 500T"/>
    <s v="120 - 6x7"/>
    <m/>
    <x v="11"/>
    <s v="Pentax Super Multi Coated Takumar 105mm f/2.4"/>
    <m/>
  </r>
  <r>
    <x v="246"/>
    <x v="228"/>
    <s v="Self - FlicFilm C41 Kit"/>
    <s v="Self - DSLR Scan"/>
    <s v="Colors are normal on this roll so it's a problem with phoenix and developer "/>
    <m/>
    <s v="Nikon F100 test roll"/>
    <s v="Fujifilm"/>
    <s v="Fujicolor 100"/>
    <n v="135"/>
    <m/>
    <x v="22"/>
    <s v="Nikkor 28-105mm f/3.5-4.5 and 50mm f/1.4"/>
    <m/>
  </r>
  <r>
    <x v="247"/>
    <x v="229"/>
    <s v="Self - FlicFilm C41 Kit"/>
    <s v="Self - DSLR Scan"/>
    <s v="Developed with roll from 23/10/24"/>
    <s v="Some scans are a little rough with water spots n shit but overall solid color"/>
    <s v="Walk with Shahida. Finished with photos of Taya"/>
    <s v="Flicfilm"/>
    <s v="Vision 3 250D"/>
    <n v="135"/>
    <m/>
    <x v="17"/>
    <s v="Voigtlander Ultron  28mm f/2 &amp; Canon LTM 50mm f/1.4"/>
    <m/>
  </r>
  <r>
    <x v="248"/>
    <x v="230"/>
    <s v="Self - Ilford DD-X"/>
    <s v="Self - DSLR Scan"/>
    <s v="Developed for 11:30 at around 24C fixed for 5. maybe a tad over cooked"/>
    <m/>
    <s v="Steph In CEAPAC roll 1"/>
    <s v="Ilford"/>
    <s v="HP5+"/>
    <s v="120 - 6x7"/>
    <s v="Push - 2"/>
    <x v="11"/>
    <s v="Pentax Super Multi Coated Takumar 55mm f/3.5 &amp; Pentax SMC Takumar 165mm f/4 LS"/>
    <m/>
  </r>
  <r>
    <x v="248"/>
    <x v="230"/>
    <s v="Self - Ilford DD-X"/>
    <s v="Self - DSLR Scan"/>
    <s v="developed for 17 mins @ 21C. Looks good"/>
    <s v="I really like this film stock shot like this"/>
    <s v="Steph In CEAPAC roll 2"/>
    <s v="Ilford"/>
    <s v="Kentmere 400"/>
    <s v="120 - 6x7"/>
    <s v="Push - 2"/>
    <x v="11"/>
    <s v="Pentax Super Multi Coated Takumar 55mm f/3.5 &amp; Pentax SMC Takumar 165mm f/4 LS"/>
    <m/>
  </r>
  <r>
    <x v="249"/>
    <x v="231"/>
    <s v="Self - FlicFilm C41 Kit"/>
    <s v="Self - Epson V700"/>
    <s v="Fucked this one right up. Might've had bad inversion technique because there's weird streaking on these"/>
    <m/>
    <s v="Loaded in d1/d2. Shoot with Mia for halloween. Missed focus on one shot, other one was ok-ish"/>
    <s v="Fujifilm"/>
    <s v="NPS 160"/>
    <s v="4x5"/>
    <m/>
    <x v="10"/>
    <m/>
    <m/>
  </r>
  <r>
    <x v="249"/>
    <x v="231"/>
    <s v="Self - Rodinal"/>
    <s v="Self - Epson V700"/>
    <s v="A little underdeveloped"/>
    <m/>
    <s v="Loaded  in B/no. Shoot with Mia for halloween"/>
    <s v="Kodak"/>
    <s v="TMax 100"/>
    <s v="4x5"/>
    <m/>
    <x v="10"/>
    <m/>
    <m/>
  </r>
  <r>
    <x v="250"/>
    <x v="232"/>
    <s v="Self - FlicFilm C41 Kit"/>
    <s v="Self - DSLR Scan"/>
    <s v="Density good, colors good, frame spacing good. Idk why the pentax just dieded"/>
    <m/>
    <s v="Shoot with Mery @ government house park"/>
    <s v="Kodak"/>
    <s v="Portra 100T"/>
    <s v="120 - 6x7"/>
    <m/>
    <x v="11"/>
    <s v="Pentax Super Multi Coated Takumar 105mm f/2.4"/>
    <m/>
  </r>
  <r>
    <x v="250"/>
    <x v="233"/>
    <m/>
    <m/>
    <m/>
    <m/>
    <s v="Pentax 6x7 was struggling to advance when loading. Roll was flashed for at least 3 frames. Test to see how it turns out and if the pentax is still good"/>
    <s v="Kodak"/>
    <s v="Portra 100T"/>
    <s v="120 - 6x7"/>
    <m/>
    <x v="11"/>
    <m/>
    <m/>
  </r>
  <r>
    <x v="251"/>
    <x v="232"/>
    <s v="Self - Ilford DD-X"/>
    <s v="Self - DSLR Scan"/>
    <s v="Developed for 9 mins 1+4. underdeveloped I think? But camera appears to work"/>
    <m/>
    <s v="Test roll"/>
    <s v="Flicfilm"/>
    <s v="Ultrapan 400"/>
    <n v="135"/>
    <m/>
    <x v="23"/>
    <s v="Built-in"/>
    <m/>
  </r>
  <r>
    <x v="252"/>
    <x v="234"/>
    <s v="Self - FlicFilm C41 Kit"/>
    <s v="Self - DSLR Scan"/>
    <s v="Developed with roll from 2024-10-08. looks good"/>
    <m/>
    <s v="Alysea at hair salon"/>
    <s v="Flicfilm"/>
    <s v="Vision 3 250D"/>
    <n v="135"/>
    <m/>
    <x v="22"/>
    <s v="Nikon 28mm f/1.8g and 50mm f/1.4D"/>
    <m/>
  </r>
  <r>
    <x v="249"/>
    <x v="231"/>
    <s v="Self - FlicFilm C41 Kit"/>
    <s v="Self - DSLR Scan"/>
    <s v="Overexposed a fair bit due to built in flash and strobe firing"/>
    <m/>
    <s v="Test roll with Mia"/>
    <s v="Fujifilm"/>
    <s v="Fujicolor 100"/>
    <n v="135"/>
    <m/>
    <x v="23"/>
    <s v="Built-in"/>
    <m/>
  </r>
  <r>
    <x v="253"/>
    <x v="235"/>
    <s v="Self - FlicFilm C41 Kit"/>
    <s v="Self - DSLR Scan"/>
    <s v="opened back of camera before rewinding. Hella light leaks"/>
    <s v="this shit ultramax for sure"/>
    <s v="Start with Karen's halloween party. Photos of nicole in home studio and ended with photos of melissa at void"/>
    <s v="Flicfilm"/>
    <s v="Street Savvy 400"/>
    <n v="135"/>
    <m/>
    <x v="17"/>
    <m/>
    <m/>
  </r>
  <r>
    <x v="254"/>
    <x v="236"/>
    <s v="Self - FlicFilm C41 Kit"/>
    <s v="Self - DSLR Scan"/>
    <s v="Some black dots across negatives. May be dirt. Should keep an eye on it though"/>
    <m/>
    <s v="Nicole Grossman in home studio"/>
    <s v="Kodak"/>
    <s v="Gold 200"/>
    <s v="120 - 6x6"/>
    <m/>
    <x v="8"/>
    <s v="Built-in"/>
    <m/>
  </r>
  <r>
    <x v="255"/>
    <x v="235"/>
    <s v="Self - FlicFilm C41 Kit"/>
    <s v="Self - DSLR Scan"/>
    <s v="Density looks good. Coulda probably underexposed"/>
    <m/>
    <s v="Iva birthday shoot. Hella slow shutter speeds so this is probably cooked"/>
    <s v="Kodak"/>
    <s v="Portra 100T"/>
    <s v="120 - 6x6"/>
    <m/>
    <x v="8"/>
    <s v="Built-in"/>
    <m/>
  </r>
  <r>
    <x v="256"/>
    <x v="237"/>
    <s v="Self - FlicFilm C41 Kit"/>
    <s v="Self - DSLR Scan"/>
    <s v="Looks better than the previous harman 200 attempt but still to grainy for my liking tbh"/>
    <m/>
    <s v="Chantal Roll 1"/>
    <s v="Harman"/>
    <s v="Phoenix 200"/>
    <s v="120 - 6x7"/>
    <m/>
    <x v="11"/>
    <s v="Pentax SMC Takumar 165mm f/4 LS"/>
    <m/>
  </r>
  <r>
    <x v="256"/>
    <x v="237"/>
    <s v="Self - FlicFilm C41 Kit"/>
    <s v="Self - DSLR Scan"/>
    <s v="Weird streaks and color shifts. Maybe not enough developer in the tank?"/>
    <m/>
    <s v="Chantal roll 2"/>
    <s v="Flicfilm"/>
    <s v="Apollo 18"/>
    <n v="135"/>
    <m/>
    <x v="22"/>
    <s v="Nikon AF-D 50mm f/1.4"/>
    <m/>
  </r>
  <r>
    <x v="256"/>
    <x v="237"/>
    <s v="Self - FlicFilm C41 Kit"/>
    <s v="Self - DSLR Scan"/>
    <s v="Streaks aren't as bad on this one but def still weird"/>
    <m/>
    <s v="Chantal Roll 3"/>
    <s v="Kodak"/>
    <s v="Gold 200"/>
    <s v="120 - 6x7"/>
    <m/>
    <x v="11"/>
    <s v="Pentax SMC Takumar 165mm f/4 LS"/>
    <m/>
  </r>
  <r>
    <x v="257"/>
    <x v="238"/>
    <s v="Self - Ilford DD-X"/>
    <s v="Self - DSLR Scan"/>
    <s v="Developed for 17 mins. Might have over exposed a little bit"/>
    <m/>
    <s v="Pluto towel and red robe"/>
    <s v="Ilford"/>
    <s v="Kentmere 400"/>
    <s v="120 - 6x7"/>
    <s v="Push - 2"/>
    <x v="11"/>
    <s v="Pentax Super Multi Coated Takumar 55mm f/3.5 &amp; Pentax Super Multi Coated Takumar 105mm f/2.4"/>
    <m/>
  </r>
  <r>
    <x v="257"/>
    <x v="238"/>
    <s v="Self - FlicFilm C41 Kit"/>
    <s v="Self - DSLR Scan"/>
    <m/>
    <s v="Some overlapping frames"/>
    <s v="Pluto red robe and green lasenza"/>
    <s v="Flicfilm"/>
    <s v="Aurora 800"/>
    <s v="135 - Panorama"/>
    <m/>
    <x v="11"/>
    <s v="Pentax Super Multi Coated Takumar 55mm f/3.5 &amp; Pentax Super Multi Coated Takumar 105mm f/2.4"/>
    <m/>
  </r>
  <r>
    <x v="258"/>
    <x v="239"/>
    <s v="Self - FlicFilm C41 Kit"/>
    <s v="Self - DSLR Scan"/>
    <s v="Looks normal!!!"/>
    <m/>
    <s v="Alysea and Kyra"/>
    <s v="Flicfilm"/>
    <s v="Elektra"/>
    <n v="135"/>
    <m/>
    <x v="17"/>
    <m/>
    <m/>
  </r>
  <r>
    <x v="259"/>
    <x v="240"/>
    <s v="Self - FlicFilm C41 Kit"/>
    <s v="Self - DSLR Scan"/>
    <s v="Streaks on this one too. Bad chemistry batch most likely"/>
    <m/>
    <s v="Pluto with dark makeup "/>
    <s v="Kodak"/>
    <s v="Gold 200"/>
    <s v="120 - 6x6"/>
    <m/>
    <x v="8"/>
    <m/>
    <m/>
  </r>
  <r>
    <x v="260"/>
    <x v="241"/>
    <s v="Self - FlicFilm C41 Kit"/>
    <s v="Self - DSLR Scan"/>
    <s v="Lookin clean. Was most likely using the bottle that had lemonade in it for final rinse that caused problems"/>
    <m/>
    <s v="Test roll for c41 kit"/>
    <s v="Fujifilm"/>
    <s v="Fujicolor 100"/>
    <n v="135"/>
    <m/>
    <x v="22"/>
    <s v="Nikon AF-D 50mm f/1.4"/>
    <m/>
  </r>
  <r>
    <x v="261"/>
    <x v="242"/>
    <s v="Self - FlicFilm C41 Kit"/>
    <s v="Self - Epson V700"/>
    <s v="Developed for 3:30. seems to be a bit fogged"/>
    <s v="With a dark background, the fogging is very evident. Shooting at ISO 100 is def the play though"/>
    <s v="2 sheets loaded in film holder A1/A2 NAIT. Shots of Hery at home studio. Rated at ISO 100"/>
    <s v="Ilford"/>
    <s v="XP"/>
    <s v="4x5"/>
    <m/>
    <x v="10"/>
    <m/>
    <m/>
  </r>
  <r>
    <x v="261"/>
    <x v="242"/>
    <s v="Self - Ilford DD-X"/>
    <s v="Self - Epson V700"/>
    <s v="Developed for 7 mins. Density looks good"/>
    <m/>
    <s v="2 sheets loaded in film holder c1/c2. Shots of hery in home studio. Rated at iso 64"/>
    <s v="Kodak"/>
    <s v="TMax 100"/>
    <s v="4x5"/>
    <m/>
    <x v="10"/>
    <m/>
    <m/>
  </r>
  <r>
    <x v="261"/>
    <x v="242"/>
    <s v="Self - FlicFilm C41 Kit"/>
    <s v="Self - DSLR Scan"/>
    <s v="Negatives looked a lot more orange than usual but inversions came out fine"/>
    <m/>
    <s v="Hery in home studio"/>
    <s v="Flicfilm"/>
    <s v="Apollo 18"/>
    <n v="135"/>
    <m/>
    <x v="22"/>
    <s v="Nikon AF-D 50mm f/1.4 &amp; Nikon 135mm f/2"/>
    <m/>
  </r>
  <r>
    <x v="262"/>
    <x v="243"/>
    <m/>
    <m/>
    <m/>
    <m/>
    <s v="2 sheets loaded in film holder a1/a2. Emily Meiling at her studio"/>
    <s v="Cinestill"/>
    <s v="400D"/>
    <m/>
    <m/>
    <x v="24"/>
    <m/>
    <m/>
  </r>
  <r>
    <x v="263"/>
    <x v="244"/>
    <m/>
    <m/>
    <m/>
    <m/>
    <s v="2 sheets loaded in film holder b2/no. Nova at Studio Vanessa"/>
    <s v="Cinestill"/>
    <s v="400D"/>
    <m/>
    <m/>
    <x v="24"/>
    <m/>
    <m/>
  </r>
  <r>
    <x v="262"/>
    <x v="243"/>
    <s v="Self - Ilford DD-X"/>
    <s v="Self - Epson V700"/>
    <m/>
    <m/>
    <s v="2 sheets loaded in film holder c1/c2. Emily Meiling at her studio"/>
    <s v="Kodak"/>
    <s v="TMAx 100"/>
    <m/>
    <m/>
    <x v="24"/>
    <m/>
    <m/>
  </r>
  <r>
    <x v="262"/>
    <x v="243"/>
    <s v="Self - Ilford DD-X"/>
    <s v="Self - Epson V700"/>
    <m/>
    <m/>
    <s v="2 sheets loaded in film holder d1/d2. Cole Bader outside TCS"/>
    <s v="Kodak"/>
    <s v="TMax 100"/>
    <m/>
    <m/>
    <x v="24"/>
    <m/>
    <m/>
  </r>
  <r>
    <x v="262"/>
    <x v="243"/>
    <m/>
    <m/>
    <m/>
    <m/>
    <s v="2 sheets loaded in C1/c2. Nova at studio vanessa"/>
    <s v="Kodak"/>
    <s v="TMax 100"/>
    <m/>
    <m/>
    <x v="24"/>
    <m/>
    <m/>
  </r>
  <r>
    <x v="263"/>
    <x v="244"/>
    <s v="Self - Ilford DD-X"/>
    <s v="Self - DSLR Scan"/>
    <s v="it works"/>
    <m/>
    <s v="Alyza at home studio"/>
    <s v="Ilford"/>
    <s v="FP4+"/>
    <m/>
    <m/>
    <x v="25"/>
    <s v="Pentax Super Multi Coated Takumar 105mm f/2.4"/>
    <m/>
  </r>
  <r>
    <x v="262"/>
    <x v="243"/>
    <m/>
    <m/>
    <m/>
    <m/>
    <s v="Calgary trip snapshots"/>
    <s v="Fujifilm"/>
    <s v="Fujicolor 100"/>
    <n v="135"/>
    <m/>
    <x v="16"/>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r>
    <x v="264"/>
    <x v="245"/>
    <m/>
    <m/>
    <m/>
    <m/>
    <m/>
    <m/>
    <m/>
    <m/>
    <m/>
    <x v="2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DDC247-56C9-49E4-BF52-156DA128991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B10" firstHeaderRow="1" firstDataRow="2" firstDataCol="1"/>
  <pivotFields count="20">
    <pivotField axis="axisRow"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26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t="default"/>
      </items>
    </pivotField>
    <pivotField axis="axisRow" showAll="0">
      <items count="247">
        <item x="0"/>
        <item x="1"/>
        <item x="2"/>
        <item x="3"/>
        <item x="4"/>
        <item x="5"/>
        <item x="6"/>
        <item x="7"/>
        <item x="8"/>
        <item x="9"/>
        <item x="10"/>
        <item x="11"/>
        <item x="12"/>
        <item x="13"/>
        <item x="15"/>
        <item x="14"/>
        <item x="16"/>
        <item x="19"/>
        <item x="18"/>
        <item x="20"/>
        <item x="17"/>
        <item x="22"/>
        <item x="23"/>
        <item x="21"/>
        <item x="24"/>
        <item x="26"/>
        <item x="25"/>
        <item x="29"/>
        <item x="28"/>
        <item x="31"/>
        <item x="27"/>
        <item x="33"/>
        <item x="32"/>
        <item x="30"/>
        <item x="36"/>
        <item x="34"/>
        <item x="37"/>
        <item x="35"/>
        <item x="40"/>
        <item x="39"/>
        <item x="41"/>
        <item x="42"/>
        <item x="43"/>
        <item x="38"/>
        <item x="44"/>
        <item x="46"/>
        <item x="48"/>
        <item x="49"/>
        <item x="47"/>
        <item x="51"/>
        <item x="50"/>
        <item x="54"/>
        <item x="52"/>
        <item x="53"/>
        <item x="55"/>
        <item x="57"/>
        <item x="58"/>
        <item x="59"/>
        <item x="61"/>
        <item x="56"/>
        <item x="62"/>
        <item x="63"/>
        <item x="64"/>
        <item x="66"/>
        <item x="67"/>
        <item x="65"/>
        <item x="68"/>
        <item x="70"/>
        <item x="71"/>
        <item x="69"/>
        <item x="73"/>
        <item x="74"/>
        <item x="72"/>
        <item x="75"/>
        <item x="77"/>
        <item x="78"/>
        <item x="76"/>
        <item x="79"/>
        <item x="82"/>
        <item x="81"/>
        <item x="80"/>
        <item x="60"/>
        <item x="83"/>
        <item x="84"/>
        <item x="85"/>
        <item x="86"/>
        <item x="87"/>
        <item x="88"/>
        <item x="90"/>
        <item x="91"/>
        <item x="89"/>
        <item x="93"/>
        <item x="94"/>
        <item x="95"/>
        <item x="92"/>
        <item x="96"/>
        <item x="97"/>
        <item x="99"/>
        <item x="98"/>
        <item x="100"/>
        <item x="101"/>
        <item x="102"/>
        <item x="103"/>
        <item x="105"/>
        <item x="104"/>
        <item x="107"/>
        <item x="108"/>
        <item x="106"/>
        <item x="109"/>
        <item x="111"/>
        <item x="112"/>
        <item x="113"/>
        <item x="110"/>
        <item x="114"/>
        <item x="116"/>
        <item x="117"/>
        <item x="118"/>
        <item x="115"/>
        <item x="120"/>
        <item x="119"/>
        <item x="121"/>
        <item x="122"/>
        <item x="123"/>
        <item x="126"/>
        <item x="124"/>
        <item x="128"/>
        <item x="127"/>
        <item x="129"/>
        <item x="130"/>
        <item x="132"/>
        <item x="125"/>
        <item x="133"/>
        <item x="134"/>
        <item x="135"/>
        <item x="131"/>
        <item x="137"/>
        <item x="138"/>
        <item x="136"/>
        <item x="139"/>
        <item x="141"/>
        <item x="142"/>
        <item x="140"/>
        <item x="143"/>
        <item x="144"/>
        <item x="145"/>
        <item x="146"/>
        <item x="147"/>
        <item x="148"/>
        <item x="149"/>
        <item x="150"/>
        <item x="151"/>
        <item x="152"/>
        <item x="153"/>
        <item x="154"/>
        <item x="155"/>
        <item x="45"/>
        <item x="156"/>
        <item x="157"/>
        <item x="158"/>
        <item x="160"/>
        <item x="161"/>
        <item x="159"/>
        <item x="162"/>
        <item x="164"/>
        <item x="165"/>
        <item x="163"/>
        <item x="166"/>
        <item x="167"/>
        <item x="168"/>
        <item x="169"/>
        <item x="170"/>
        <item x="171"/>
        <item x="172"/>
        <item x="245"/>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showAll="0"/>
    <pivotField showAll="0"/>
    <pivotField showAll="0"/>
    <pivotField showAll="0"/>
    <pivotField showAll="0"/>
    <pivotField showAll="0"/>
    <pivotField showAll="0"/>
    <pivotField showAll="0"/>
    <pivotField showAll="0"/>
    <pivotField axis="axisCol" dataField="1" showAll="0">
      <items count="28">
        <item x="7"/>
        <item x="18"/>
        <item x="1"/>
        <item x="6"/>
        <item x="10"/>
        <item x="13"/>
        <item x="14"/>
        <item x="17"/>
        <item x="3"/>
        <item x="9"/>
        <item x="0"/>
        <item x="4"/>
        <item m="1" x="26"/>
        <item x="16"/>
        <item x="11"/>
        <item x="15"/>
        <item x="12"/>
        <item x="8"/>
        <item x="2"/>
        <item x="24"/>
        <item x="5"/>
        <item x="19"/>
        <item x="20"/>
        <item x="21"/>
        <item x="22"/>
        <item x="23"/>
        <item x="25"/>
        <item t="default"/>
      </items>
    </pivotField>
    <pivotField showAll="0"/>
    <pivotField showAll="0"/>
    <pivotField axis="axisRow" showAll="0">
      <items count="15">
        <item x="0"/>
        <item sd="0" x="1"/>
        <item sd="0" x="2"/>
        <item sd="0" x="3"/>
        <item sd="0" x="4"/>
        <item sd="0" x="5"/>
        <item sd="0" x="6"/>
        <item sd="0" x="7"/>
        <item sd="0" x="8"/>
        <item sd="0" x="9"/>
        <item sd="0" x="10"/>
        <item sd="0" x="11"/>
        <item sd="0" x="12"/>
        <item sd="0" x="13"/>
        <item t="default"/>
      </items>
    </pivotField>
    <pivotField axis="axisRow" showAll="0">
      <items count="7">
        <item x="0"/>
        <item sd="0" x="1"/>
        <item sd="0" x="2"/>
        <item sd="0" x="3"/>
        <item sd="0" x="4"/>
        <item x="5"/>
        <item t="default"/>
      </items>
    </pivotField>
    <pivotField axis="axisRow" showAll="0">
      <items count="9">
        <item sd="0" x="0"/>
        <item sd="0" x="1"/>
        <item sd="0" x="2"/>
        <item sd="0" x="3"/>
        <item sd="0" x="4"/>
        <item sd="0" x="5"/>
        <item sd="0" x="6"/>
        <item x="7"/>
        <item t="default"/>
      </items>
    </pivotField>
    <pivotField axis="axisRow" showAll="0">
      <items count="15">
        <item x="0"/>
        <item sd="0" x="1"/>
        <item sd="0" x="2"/>
        <item sd="0" x="3"/>
        <item sd="0" x="4"/>
        <item sd="0" x="5"/>
        <item sd="0" x="6"/>
        <item sd="0" x="7"/>
        <item sd="0" x="8"/>
        <item sd="0" x="9"/>
        <item sd="0" x="10"/>
        <item sd="0" x="11"/>
        <item sd="0" x="12"/>
        <item sd="0" x="13"/>
        <item t="default"/>
      </items>
    </pivotField>
    <pivotField axis="axisRow" showAll="0">
      <items count="7">
        <item x="0"/>
        <item sd="0" x="1"/>
        <item sd="0" x="2"/>
        <item sd="0" x="3"/>
        <item sd="0" x="4"/>
        <item x="5"/>
        <item t="default"/>
      </items>
    </pivotField>
    <pivotField axis="axisRow" showAll="0">
      <items count="6">
        <item x="0"/>
        <item sd="0" x="1"/>
        <item sd="0" x="2"/>
        <item sd="0" x="3"/>
        <item x="4"/>
        <item t="default"/>
      </items>
    </pivotField>
  </pivotFields>
  <rowFields count="8">
    <field x="16"/>
    <field x="15"/>
    <field x="14"/>
    <field x="0"/>
    <field x="19"/>
    <field x="18"/>
    <field x="17"/>
    <field x="1"/>
  </rowFields>
  <rowItems count="6">
    <i>
      <x/>
    </i>
    <i>
      <x v="1"/>
    </i>
    <i>
      <x v="4"/>
    </i>
    <i>
      <x v="5"/>
    </i>
    <i>
      <x v="6"/>
    </i>
    <i t="grand">
      <x/>
    </i>
  </rowItems>
  <colFields count="1">
    <field x="11"/>
  </colFields>
  <colItems count="27">
    <i>
      <x/>
    </i>
    <i>
      <x v="1"/>
    </i>
    <i>
      <x v="2"/>
    </i>
    <i>
      <x v="3"/>
    </i>
    <i>
      <x v="4"/>
    </i>
    <i>
      <x v="5"/>
    </i>
    <i>
      <x v="6"/>
    </i>
    <i>
      <x v="7"/>
    </i>
    <i>
      <x v="8"/>
    </i>
    <i>
      <x v="9"/>
    </i>
    <i>
      <x v="10"/>
    </i>
    <i>
      <x v="11"/>
    </i>
    <i>
      <x v="13"/>
    </i>
    <i>
      <x v="14"/>
    </i>
    <i>
      <x v="15"/>
    </i>
    <i>
      <x v="16"/>
    </i>
    <i>
      <x v="17"/>
    </i>
    <i>
      <x v="18"/>
    </i>
    <i>
      <x v="19"/>
    </i>
    <i>
      <x v="20"/>
    </i>
    <i>
      <x v="21"/>
    </i>
    <i>
      <x v="22"/>
    </i>
    <i>
      <x v="23"/>
    </i>
    <i>
      <x v="24"/>
    </i>
    <i>
      <x v="25"/>
    </i>
    <i>
      <x v="26"/>
    </i>
    <i t="grand">
      <x/>
    </i>
  </colItems>
  <dataFields count="1">
    <dataField name="Count of Camera" fld="11" subtotal="count" baseField="0" baseItem="0"/>
  </dataFields>
  <chartFormats count="40">
    <chartFormat chart="4" format="2" series="1">
      <pivotArea type="data" outline="0" fieldPosition="0">
        <references count="1">
          <reference field="11" count="1" selected="0">
            <x v="0"/>
          </reference>
        </references>
      </pivotArea>
    </chartFormat>
    <chartFormat chart="4" format="3" series="1">
      <pivotArea type="data" outline="0" fieldPosition="0">
        <references count="1">
          <reference field="11" count="1" selected="0">
            <x v="1"/>
          </reference>
        </references>
      </pivotArea>
    </chartFormat>
    <chartFormat chart="4" format="4" series="1">
      <pivotArea type="data" outline="0" fieldPosition="0">
        <references count="1">
          <reference field="11" count="1" selected="0">
            <x v="2"/>
          </reference>
        </references>
      </pivotArea>
    </chartFormat>
    <chartFormat chart="4" format="5" series="1">
      <pivotArea type="data" outline="0" fieldPosition="0">
        <references count="1">
          <reference field="11" count="1" selected="0">
            <x v="3"/>
          </reference>
        </references>
      </pivotArea>
    </chartFormat>
    <chartFormat chart="4" format="6" series="1">
      <pivotArea type="data" outline="0" fieldPosition="0">
        <references count="1">
          <reference field="11" count="1" selected="0">
            <x v="4"/>
          </reference>
        </references>
      </pivotArea>
    </chartFormat>
    <chartFormat chart="4" format="7" series="1">
      <pivotArea type="data" outline="0" fieldPosition="0">
        <references count="1">
          <reference field="11" count="1" selected="0">
            <x v="5"/>
          </reference>
        </references>
      </pivotArea>
    </chartFormat>
    <chartFormat chart="4" format="8" series="1">
      <pivotArea type="data" outline="0" fieldPosition="0">
        <references count="1">
          <reference field="11" count="1" selected="0">
            <x v="6"/>
          </reference>
        </references>
      </pivotArea>
    </chartFormat>
    <chartFormat chart="4" format="9" series="1">
      <pivotArea type="data" outline="0" fieldPosition="0">
        <references count="1">
          <reference field="11" count="1" selected="0">
            <x v="7"/>
          </reference>
        </references>
      </pivotArea>
    </chartFormat>
    <chartFormat chart="4" format="10" series="1">
      <pivotArea type="data" outline="0" fieldPosition="0">
        <references count="1">
          <reference field="11" count="1" selected="0">
            <x v="8"/>
          </reference>
        </references>
      </pivotArea>
    </chartFormat>
    <chartFormat chart="4" format="11" series="1">
      <pivotArea type="data" outline="0" fieldPosition="0">
        <references count="1">
          <reference field="11" count="1" selected="0">
            <x v="9"/>
          </reference>
        </references>
      </pivotArea>
    </chartFormat>
    <chartFormat chart="4" format="12" series="1">
      <pivotArea type="data" outline="0" fieldPosition="0">
        <references count="1">
          <reference field="11" count="1" selected="0">
            <x v="10"/>
          </reference>
        </references>
      </pivotArea>
    </chartFormat>
    <chartFormat chart="4" format="13" series="1">
      <pivotArea type="data" outline="0" fieldPosition="0">
        <references count="1">
          <reference field="11" count="1" selected="0">
            <x v="11"/>
          </reference>
        </references>
      </pivotArea>
    </chartFormat>
    <chartFormat chart="4" format="14" series="1">
      <pivotArea type="data" outline="0" fieldPosition="0">
        <references count="1">
          <reference field="11" count="1" selected="0">
            <x v="13"/>
          </reference>
        </references>
      </pivotArea>
    </chartFormat>
    <chartFormat chart="4" format="15" series="1">
      <pivotArea type="data" outline="0" fieldPosition="0">
        <references count="1">
          <reference field="11" count="1" selected="0">
            <x v="14"/>
          </reference>
        </references>
      </pivotArea>
    </chartFormat>
    <chartFormat chart="4" format="16" series="1">
      <pivotArea type="data" outline="0" fieldPosition="0">
        <references count="1">
          <reference field="11" count="1" selected="0">
            <x v="15"/>
          </reference>
        </references>
      </pivotArea>
    </chartFormat>
    <chartFormat chart="4" format="17" series="1">
      <pivotArea type="data" outline="0" fieldPosition="0">
        <references count="1">
          <reference field="11" count="1" selected="0">
            <x v="16"/>
          </reference>
        </references>
      </pivotArea>
    </chartFormat>
    <chartFormat chart="4" format="18" series="1">
      <pivotArea type="data" outline="0" fieldPosition="0">
        <references count="1">
          <reference field="11" count="1" selected="0">
            <x v="17"/>
          </reference>
        </references>
      </pivotArea>
    </chartFormat>
    <chartFormat chart="4" format="19" series="1">
      <pivotArea type="data" outline="0" fieldPosition="0">
        <references count="1">
          <reference field="11" count="1" selected="0">
            <x v="18"/>
          </reference>
        </references>
      </pivotArea>
    </chartFormat>
    <chartFormat chart="4" format="20" series="1">
      <pivotArea type="data" outline="0" fieldPosition="0">
        <references count="1">
          <reference field="11" count="1" selected="0">
            <x v="19"/>
          </reference>
        </references>
      </pivotArea>
    </chartFormat>
    <chartFormat chart="4" format="21" series="1">
      <pivotArea type="data" outline="0" fieldPosition="0">
        <references count="1">
          <reference field="11" count="1" selected="0">
            <x v="20"/>
          </reference>
        </references>
      </pivotArea>
    </chartFormat>
    <chartFormat chart="0" format="2" series="1">
      <pivotArea type="data" outline="0" fieldPosition="0">
        <references count="1">
          <reference field="11" count="1" selected="0">
            <x v="0"/>
          </reference>
        </references>
      </pivotArea>
    </chartFormat>
    <chartFormat chart="0" format="3" series="1">
      <pivotArea type="data" outline="0" fieldPosition="0">
        <references count="1">
          <reference field="11" count="1" selected="0">
            <x v="1"/>
          </reference>
        </references>
      </pivotArea>
    </chartFormat>
    <chartFormat chart="0" format="4" series="1">
      <pivotArea type="data" outline="0" fieldPosition="0">
        <references count="1">
          <reference field="11" count="1" selected="0">
            <x v="2"/>
          </reference>
        </references>
      </pivotArea>
    </chartFormat>
    <chartFormat chart="0" format="5" series="1">
      <pivotArea type="data" outline="0" fieldPosition="0">
        <references count="1">
          <reference field="11" count="1" selected="0">
            <x v="3"/>
          </reference>
        </references>
      </pivotArea>
    </chartFormat>
    <chartFormat chart="0" format="6" series="1">
      <pivotArea type="data" outline="0" fieldPosition="0">
        <references count="1">
          <reference field="11" count="1" selected="0">
            <x v="4"/>
          </reference>
        </references>
      </pivotArea>
    </chartFormat>
    <chartFormat chart="0" format="7" series="1">
      <pivotArea type="data" outline="0" fieldPosition="0">
        <references count="1">
          <reference field="11" count="1" selected="0">
            <x v="5"/>
          </reference>
        </references>
      </pivotArea>
    </chartFormat>
    <chartFormat chart="0" format="8" series="1">
      <pivotArea type="data" outline="0" fieldPosition="0">
        <references count="1">
          <reference field="11" count="1" selected="0">
            <x v="6"/>
          </reference>
        </references>
      </pivotArea>
    </chartFormat>
    <chartFormat chart="0" format="9" series="1">
      <pivotArea type="data" outline="0" fieldPosition="0">
        <references count="1">
          <reference field="11" count="1" selected="0">
            <x v="7"/>
          </reference>
        </references>
      </pivotArea>
    </chartFormat>
    <chartFormat chart="0" format="10" series="1">
      <pivotArea type="data" outline="0" fieldPosition="0">
        <references count="1">
          <reference field="11" count="1" selected="0">
            <x v="8"/>
          </reference>
        </references>
      </pivotArea>
    </chartFormat>
    <chartFormat chart="0" format="11" series="1">
      <pivotArea type="data" outline="0" fieldPosition="0">
        <references count="1">
          <reference field="11" count="1" selected="0">
            <x v="9"/>
          </reference>
        </references>
      </pivotArea>
    </chartFormat>
    <chartFormat chart="0" format="12" series="1">
      <pivotArea type="data" outline="0" fieldPosition="0">
        <references count="1">
          <reference field="11" count="1" selected="0">
            <x v="10"/>
          </reference>
        </references>
      </pivotArea>
    </chartFormat>
    <chartFormat chart="0" format="13" series="1">
      <pivotArea type="data" outline="0" fieldPosition="0">
        <references count="1">
          <reference field="11" count="1" selected="0">
            <x v="11"/>
          </reference>
        </references>
      </pivotArea>
    </chartFormat>
    <chartFormat chart="0" format="14" series="1">
      <pivotArea type="data" outline="0" fieldPosition="0">
        <references count="1">
          <reference field="11" count="1" selected="0">
            <x v="13"/>
          </reference>
        </references>
      </pivotArea>
    </chartFormat>
    <chartFormat chart="0" format="15" series="1">
      <pivotArea type="data" outline="0" fieldPosition="0">
        <references count="1">
          <reference field="11" count="1" selected="0">
            <x v="14"/>
          </reference>
        </references>
      </pivotArea>
    </chartFormat>
    <chartFormat chart="0" format="16" series="1">
      <pivotArea type="data" outline="0" fieldPosition="0">
        <references count="1">
          <reference field="11" count="1" selected="0">
            <x v="15"/>
          </reference>
        </references>
      </pivotArea>
    </chartFormat>
    <chartFormat chart="0" format="17" series="1">
      <pivotArea type="data" outline="0" fieldPosition="0">
        <references count="1">
          <reference field="11" count="1" selected="0">
            <x v="16"/>
          </reference>
        </references>
      </pivotArea>
    </chartFormat>
    <chartFormat chart="0" format="18" series="1">
      <pivotArea type="data" outline="0" fieldPosition="0">
        <references count="1">
          <reference field="11" count="1" selected="0">
            <x v="17"/>
          </reference>
        </references>
      </pivotArea>
    </chartFormat>
    <chartFormat chart="0" format="19" series="1">
      <pivotArea type="data" outline="0" fieldPosition="0">
        <references count="1">
          <reference field="11" count="1" selected="0">
            <x v="18"/>
          </reference>
        </references>
      </pivotArea>
    </chartFormat>
    <chartFormat chart="0" format="20" series="1">
      <pivotArea type="data" outline="0" fieldPosition="0">
        <references count="1">
          <reference field="11" count="1" selected="0">
            <x v="19"/>
          </reference>
        </references>
      </pivotArea>
    </chartFormat>
    <chartFormat chart="0" format="21" series="1">
      <pivotArea type="data" outline="0" fieldPosition="0">
        <references count="1">
          <reference field="11"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DB3E66-B99D-4C2A-9304-AFDA277E26BF}" name="Table2" displayName="Table2" ref="A1:N51" totalsRowShown="0" headerRowDxfId="16" dataDxfId="15">
  <autoFilter ref="A1:N51" xr:uid="{8ADB3E66-B99D-4C2A-9304-AFDA277E26BF}"/>
  <sortState xmlns:xlrd2="http://schemas.microsoft.com/office/spreadsheetml/2017/richdata2" ref="A2:N630">
    <sortCondition ref="A1:A630"/>
  </sortState>
  <tableColumns count="14">
    <tableColumn id="1" xr3:uid="{0D51FC5B-C041-40E5-8DFB-2598B7965C77}" name="Load Date" dataDxfId="2"/>
    <tableColumn id="2" xr3:uid="{2A3EF068-0E55-4A0E-A25C-E055C7A99316}" name="Unload Date" dataDxfId="0"/>
    <tableColumn id="3" xr3:uid="{1A2EA8B2-CCC3-4FA7-A459-AF1BBC266CB3}" name="Developed" dataDxfId="1"/>
    <tableColumn id="4" xr3:uid="{27CAFFCA-5959-4CFC-8AB8-01E1C28B7433}" name="Scanned" dataDxfId="14"/>
    <tableColumn id="5" xr3:uid="{45FFCB1D-BCDC-4C65-8796-842C69C8293B}" name="Develop Notes" dataDxfId="13"/>
    <tableColumn id="6" xr3:uid="{A262CC0A-665A-4367-A098-9F659C6F7094}" name="Scan Notes" dataDxfId="12"/>
    <tableColumn id="7" xr3:uid="{0954B30D-C9FB-42E7-BC7C-2EEE38CA6821}" name="Shot Notes" dataDxfId="11"/>
    <tableColumn id="8" xr3:uid="{7A01EF6E-7FEC-438C-B3D1-96C54ADB9D7B}" name="Film Brand" dataDxfId="10"/>
    <tableColumn id="9" xr3:uid="{76461178-AF6C-445F-80EE-E18CB1B8BBD1}" name="Film Stock" dataDxfId="9"/>
    <tableColumn id="10" xr3:uid="{2E473B26-1242-43A8-AF49-99B24D4A227B}" name="Film Format" dataDxfId="8"/>
    <tableColumn id="11" xr3:uid="{2B7AAE96-35AE-4465-898B-15F8E8131993}" name="Push/Pull" dataDxfId="7"/>
    <tableColumn id="12" xr3:uid="{37830839-348C-4552-BF87-1FB8912EA5BF}" name="Camera" dataDxfId="6"/>
    <tableColumn id="13" xr3:uid="{BE89620E-97EA-431A-8AFA-A95288BF0D85}" name="Lenses" dataDxfId="5"/>
    <tableColumn id="14" xr3:uid="{7B4EB601-9C46-4911-8595-7C5F1C89AA91}" name="Roll Rating" dataDxfId="4"/>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7E2D-2CBF-40E2-8FB4-E0C2C6F63CF7}">
  <dimension ref="A3:AB10"/>
  <sheetViews>
    <sheetView workbookViewId="0">
      <selection activeCell="M25" sqref="M25"/>
    </sheetView>
  </sheetViews>
  <sheetFormatPr defaultRowHeight="15" x14ac:dyDescent="0.25"/>
  <cols>
    <col min="1" max="1" width="15.85546875" bestFit="1" customWidth="1"/>
    <col min="2" max="2" width="16.28515625" bestFit="1" customWidth="1"/>
    <col min="3" max="3" width="8" bestFit="1" customWidth="1"/>
    <col min="4" max="4" width="16.85546875" bestFit="1" customWidth="1"/>
    <col min="5" max="5" width="10.42578125" bestFit="1" customWidth="1"/>
    <col min="6" max="6" width="20.7109375" bestFit="1" customWidth="1"/>
    <col min="7" max="7" width="21.140625" bestFit="1" customWidth="1"/>
    <col min="8" max="8" width="17.28515625" bestFit="1" customWidth="1"/>
    <col min="9" max="9" width="8.7109375" bestFit="1" customWidth="1"/>
    <col min="10" max="10" width="15.140625" bestFit="1" customWidth="1"/>
    <col min="11" max="12" width="8.7109375" bestFit="1" customWidth="1"/>
    <col min="14" max="14" width="19.5703125" bestFit="1" customWidth="1"/>
    <col min="15" max="15" width="10.5703125" bestFit="1" customWidth="1"/>
    <col min="16" max="16" width="12.140625" bestFit="1" customWidth="1"/>
    <col min="17" max="17" width="18.7109375" bestFit="1" customWidth="1"/>
    <col min="18" max="18" width="16.5703125" bestFit="1" customWidth="1"/>
    <col min="19" max="19" width="15" bestFit="1" customWidth="1"/>
    <col min="20" max="20" width="7.28515625" bestFit="1" customWidth="1"/>
    <col min="21" max="21" width="19.140625" bestFit="1" customWidth="1"/>
    <col min="22" max="22" width="14.7109375" bestFit="1" customWidth="1"/>
    <col min="23" max="23" width="11.7109375" bestFit="1" customWidth="1"/>
    <col min="24" max="24" width="19.7109375" bestFit="1" customWidth="1"/>
    <col min="25" max="25" width="10.7109375" bestFit="1" customWidth="1"/>
    <col min="26" max="26" width="14.28515625" bestFit="1" customWidth="1"/>
    <col min="27" max="27" width="9.5703125" bestFit="1" customWidth="1"/>
    <col min="28" max="28" width="11.28515625" bestFit="1" customWidth="1"/>
  </cols>
  <sheetData>
    <row r="3" spans="1:28" x14ac:dyDescent="0.25">
      <c r="A3" s="3" t="s">
        <v>47</v>
      </c>
      <c r="B3" s="3" t="s">
        <v>82</v>
      </c>
    </row>
    <row r="4" spans="1:28" x14ac:dyDescent="0.25">
      <c r="A4" s="3" t="s">
        <v>80</v>
      </c>
      <c r="B4" t="s">
        <v>45</v>
      </c>
      <c r="C4" t="s">
        <v>78</v>
      </c>
      <c r="D4" t="s">
        <v>30</v>
      </c>
      <c r="E4" t="s">
        <v>39</v>
      </c>
      <c r="F4" t="s">
        <v>57</v>
      </c>
      <c r="G4" t="s">
        <v>65</v>
      </c>
      <c r="H4" t="s">
        <v>66</v>
      </c>
      <c r="I4" t="s">
        <v>76</v>
      </c>
      <c r="J4" t="s">
        <v>33</v>
      </c>
      <c r="K4" t="s">
        <v>59</v>
      </c>
      <c r="L4" t="s">
        <v>19</v>
      </c>
      <c r="M4" t="s">
        <v>38</v>
      </c>
      <c r="N4" t="s">
        <v>73</v>
      </c>
      <c r="O4" t="s">
        <v>60</v>
      </c>
      <c r="P4" t="s">
        <v>68</v>
      </c>
      <c r="Q4" t="s">
        <v>62</v>
      </c>
      <c r="R4" t="s">
        <v>46</v>
      </c>
      <c r="S4" t="s">
        <v>26</v>
      </c>
      <c r="T4" t="s">
        <v>48</v>
      </c>
      <c r="U4" t="s">
        <v>51</v>
      </c>
      <c r="V4" t="s">
        <v>89</v>
      </c>
      <c r="W4" t="s">
        <v>91</v>
      </c>
      <c r="X4" t="s">
        <v>93</v>
      </c>
      <c r="Y4" t="s">
        <v>98</v>
      </c>
      <c r="Z4" t="s">
        <v>100</v>
      </c>
      <c r="AA4" t="s">
        <v>108</v>
      </c>
      <c r="AB4" t="s">
        <v>81</v>
      </c>
    </row>
    <row r="5" spans="1:28" x14ac:dyDescent="0.25">
      <c r="A5" s="4" t="s">
        <v>83</v>
      </c>
    </row>
    <row r="6" spans="1:28" x14ac:dyDescent="0.25">
      <c r="A6" s="4" t="s">
        <v>84</v>
      </c>
      <c r="L6">
        <v>1</v>
      </c>
      <c r="AB6">
        <v>1</v>
      </c>
    </row>
    <row r="7" spans="1:28" x14ac:dyDescent="0.25">
      <c r="A7" s="4" t="s">
        <v>85</v>
      </c>
      <c r="B7">
        <v>1</v>
      </c>
      <c r="D7">
        <v>2</v>
      </c>
      <c r="E7">
        <v>4</v>
      </c>
      <c r="J7">
        <v>12</v>
      </c>
      <c r="L7">
        <v>10</v>
      </c>
      <c r="M7">
        <v>5</v>
      </c>
      <c r="R7">
        <v>1</v>
      </c>
      <c r="S7">
        <v>11</v>
      </c>
      <c r="U7">
        <v>4</v>
      </c>
      <c r="AB7">
        <v>50</v>
      </c>
    </row>
    <row r="8" spans="1:28" x14ac:dyDescent="0.25">
      <c r="A8" s="4" t="s">
        <v>87</v>
      </c>
      <c r="B8">
        <v>1</v>
      </c>
      <c r="E8">
        <v>13</v>
      </c>
      <c r="F8">
        <v>30</v>
      </c>
      <c r="G8">
        <v>1</v>
      </c>
      <c r="H8">
        <v>7</v>
      </c>
      <c r="J8">
        <v>21</v>
      </c>
      <c r="K8">
        <v>20</v>
      </c>
      <c r="L8">
        <v>23</v>
      </c>
      <c r="M8">
        <v>1</v>
      </c>
      <c r="N8">
        <v>2</v>
      </c>
      <c r="O8">
        <v>29</v>
      </c>
      <c r="P8">
        <v>1</v>
      </c>
      <c r="Q8">
        <v>1</v>
      </c>
      <c r="R8">
        <v>17</v>
      </c>
      <c r="U8">
        <v>3</v>
      </c>
      <c r="AB8">
        <v>170</v>
      </c>
    </row>
    <row r="9" spans="1:28" x14ac:dyDescent="0.25">
      <c r="A9" s="4" t="s">
        <v>88</v>
      </c>
      <c r="C9">
        <v>2</v>
      </c>
      <c r="E9">
        <v>1</v>
      </c>
      <c r="F9">
        <v>26</v>
      </c>
      <c r="H9">
        <v>5</v>
      </c>
      <c r="I9">
        <v>36</v>
      </c>
      <c r="K9">
        <v>3</v>
      </c>
      <c r="N9">
        <v>4</v>
      </c>
      <c r="O9">
        <v>41</v>
      </c>
      <c r="R9">
        <v>8</v>
      </c>
      <c r="V9">
        <v>3</v>
      </c>
      <c r="W9">
        <v>5</v>
      </c>
      <c r="X9">
        <v>8</v>
      </c>
      <c r="Y9">
        <v>5</v>
      </c>
      <c r="Z9">
        <v>2</v>
      </c>
      <c r="AA9">
        <v>1</v>
      </c>
      <c r="AB9">
        <v>150</v>
      </c>
    </row>
    <row r="10" spans="1:28" x14ac:dyDescent="0.25">
      <c r="A10" s="4" t="s">
        <v>81</v>
      </c>
      <c r="B10">
        <v>2</v>
      </c>
      <c r="C10">
        <v>2</v>
      </c>
      <c r="D10">
        <v>2</v>
      </c>
      <c r="E10">
        <v>18</v>
      </c>
      <c r="F10">
        <v>56</v>
      </c>
      <c r="G10">
        <v>1</v>
      </c>
      <c r="H10">
        <v>12</v>
      </c>
      <c r="I10">
        <v>36</v>
      </c>
      <c r="J10">
        <v>33</v>
      </c>
      <c r="K10">
        <v>23</v>
      </c>
      <c r="L10">
        <v>34</v>
      </c>
      <c r="M10">
        <v>6</v>
      </c>
      <c r="N10">
        <v>6</v>
      </c>
      <c r="O10">
        <v>70</v>
      </c>
      <c r="P10">
        <v>1</v>
      </c>
      <c r="Q10">
        <v>1</v>
      </c>
      <c r="R10">
        <v>26</v>
      </c>
      <c r="S10">
        <v>11</v>
      </c>
      <c r="U10">
        <v>7</v>
      </c>
      <c r="V10">
        <v>3</v>
      </c>
      <c r="W10">
        <v>5</v>
      </c>
      <c r="X10">
        <v>8</v>
      </c>
      <c r="Y10">
        <v>5</v>
      </c>
      <c r="Z10">
        <v>2</v>
      </c>
      <c r="AA10">
        <v>1</v>
      </c>
      <c r="AB10">
        <v>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8B5C-D945-425B-BE56-0B2435D11089}">
  <dimension ref="A1:N630"/>
  <sheetViews>
    <sheetView tabSelected="1" workbookViewId="0">
      <selection activeCell="B17" sqref="B17"/>
    </sheetView>
  </sheetViews>
  <sheetFormatPr defaultColWidth="9.140625" defaultRowHeight="15" x14ac:dyDescent="0.25"/>
  <cols>
    <col min="1" max="1" width="12.140625" style="1" bestFit="1" customWidth="1"/>
    <col min="2" max="2" width="28.28515625" style="5" bestFit="1" customWidth="1"/>
    <col min="3" max="3" width="16.85546875" style="1" customWidth="1"/>
    <col min="4" max="4" width="19.42578125" style="1" customWidth="1"/>
    <col min="5" max="5" width="26" style="1" customWidth="1"/>
    <col min="6" max="6" width="40.140625" style="1" customWidth="1"/>
    <col min="7" max="7" width="51.85546875" style="1" customWidth="1"/>
    <col min="8" max="8" width="19.7109375" style="1" customWidth="1"/>
    <col min="9" max="9" width="17.42578125" style="1" customWidth="1"/>
    <col min="10" max="10" width="13.7109375" style="1" customWidth="1"/>
    <col min="11" max="11" width="12.5703125" style="1" customWidth="1"/>
    <col min="12" max="12" width="13.85546875" style="1" customWidth="1"/>
    <col min="13" max="13" width="26.28515625" style="1" customWidth="1"/>
    <col min="14" max="14" width="29.42578125" style="1" customWidth="1"/>
    <col min="15" max="15" width="35.85546875" style="1" customWidth="1"/>
    <col min="16" max="16384" width="9.140625" style="1"/>
  </cols>
  <sheetData>
    <row r="1" spans="1:14" x14ac:dyDescent="0.25">
      <c r="A1" s="1" t="s">
        <v>0</v>
      </c>
      <c r="B1" s="5" t="s">
        <v>1</v>
      </c>
      <c r="C1" s="1" t="s">
        <v>2</v>
      </c>
      <c r="D1" s="1" t="s">
        <v>3</v>
      </c>
      <c r="E1" s="1" t="s">
        <v>4</v>
      </c>
      <c r="F1" s="1" t="s">
        <v>5</v>
      </c>
      <c r="G1" s="1" t="s">
        <v>15</v>
      </c>
      <c r="H1" s="1" t="s">
        <v>14</v>
      </c>
      <c r="I1" s="1" t="s">
        <v>6</v>
      </c>
      <c r="J1" s="1" t="s">
        <v>16</v>
      </c>
      <c r="K1" s="1" t="s">
        <v>21</v>
      </c>
      <c r="L1" s="1" t="s">
        <v>7</v>
      </c>
      <c r="M1" s="1" t="s">
        <v>8</v>
      </c>
      <c r="N1" s="1" t="s">
        <v>31</v>
      </c>
    </row>
    <row r="2" spans="1:14" ht="30" x14ac:dyDescent="0.25">
      <c r="A2" s="2">
        <v>45642</v>
      </c>
      <c r="B2" s="2">
        <v>45642</v>
      </c>
      <c r="C2" s="1" t="s">
        <v>41</v>
      </c>
      <c r="D2" s="1" t="s">
        <v>61</v>
      </c>
      <c r="E2" s="1" t="s">
        <v>110</v>
      </c>
      <c r="G2" s="1" t="s">
        <v>104</v>
      </c>
      <c r="H2" s="1" t="s">
        <v>22</v>
      </c>
      <c r="I2" s="1" t="s">
        <v>55</v>
      </c>
      <c r="J2" s="1" t="s">
        <v>56</v>
      </c>
      <c r="L2" s="1" t="s">
        <v>57</v>
      </c>
      <c r="M2" s="1" t="s">
        <v>111</v>
      </c>
    </row>
    <row r="3" spans="1:14" ht="45" x14ac:dyDescent="0.25">
      <c r="A3" s="2">
        <v>45642</v>
      </c>
      <c r="B3" s="2">
        <v>45642</v>
      </c>
      <c r="C3" s="1" t="s">
        <v>41</v>
      </c>
      <c r="D3" s="1" t="s">
        <v>61</v>
      </c>
      <c r="E3" s="1" t="s">
        <v>110</v>
      </c>
      <c r="G3" s="1" t="s">
        <v>105</v>
      </c>
      <c r="H3" s="1" t="s">
        <v>22</v>
      </c>
      <c r="I3" s="1" t="s">
        <v>55</v>
      </c>
      <c r="J3" s="1" t="s">
        <v>56</v>
      </c>
      <c r="L3" s="1" t="s">
        <v>57</v>
      </c>
      <c r="M3" s="1" t="s">
        <v>112</v>
      </c>
    </row>
    <row r="4" spans="1:14" ht="30" x14ac:dyDescent="0.25">
      <c r="A4" s="2">
        <v>45643</v>
      </c>
      <c r="B4" s="2">
        <v>45643</v>
      </c>
      <c r="C4" s="1" t="s">
        <v>41</v>
      </c>
      <c r="D4" s="1" t="s">
        <v>77</v>
      </c>
      <c r="E4" s="1" t="s">
        <v>109</v>
      </c>
      <c r="G4" s="1" t="s">
        <v>107</v>
      </c>
      <c r="H4" s="1" t="s">
        <v>28</v>
      </c>
      <c r="I4" s="1" t="s">
        <v>32</v>
      </c>
      <c r="J4" s="1" t="s">
        <v>43</v>
      </c>
      <c r="L4" s="1" t="s">
        <v>108</v>
      </c>
      <c r="M4" s="1" t="s">
        <v>64</v>
      </c>
    </row>
    <row r="5" spans="1:14" ht="30" x14ac:dyDescent="0.25">
      <c r="A5" s="2">
        <v>45642</v>
      </c>
      <c r="B5" s="2">
        <v>45642</v>
      </c>
      <c r="C5" s="1" t="s">
        <v>18</v>
      </c>
      <c r="D5" s="1" t="s">
        <v>18</v>
      </c>
      <c r="G5" s="1" t="s">
        <v>106</v>
      </c>
      <c r="H5" s="1" t="s">
        <v>17</v>
      </c>
      <c r="I5" s="1" t="s">
        <v>97</v>
      </c>
      <c r="J5" s="1">
        <v>135</v>
      </c>
      <c r="L5" s="1" t="s">
        <v>73</v>
      </c>
      <c r="M5" s="1" t="s">
        <v>27</v>
      </c>
    </row>
    <row r="6" spans="1:14" ht="45" x14ac:dyDescent="0.25">
      <c r="A6" s="2">
        <v>45645</v>
      </c>
      <c r="B6" s="2">
        <v>45672</v>
      </c>
      <c r="C6" s="1" t="s">
        <v>40</v>
      </c>
      <c r="D6" s="1" t="s">
        <v>77</v>
      </c>
      <c r="G6" s="1" t="s">
        <v>117</v>
      </c>
      <c r="H6" s="1" t="s">
        <v>49</v>
      </c>
      <c r="I6" s="1" t="s">
        <v>101</v>
      </c>
      <c r="J6" s="1">
        <v>135</v>
      </c>
      <c r="L6" s="1" t="s">
        <v>76</v>
      </c>
      <c r="M6" s="1" t="s">
        <v>92</v>
      </c>
    </row>
    <row r="7" spans="1:14" ht="30" x14ac:dyDescent="0.25">
      <c r="A7" s="2">
        <v>45663</v>
      </c>
      <c r="B7" s="2">
        <v>45663</v>
      </c>
      <c r="C7" s="1" t="s">
        <v>94</v>
      </c>
      <c r="D7" s="1" t="s">
        <v>77</v>
      </c>
      <c r="G7" s="1" t="s">
        <v>113</v>
      </c>
      <c r="H7" s="1" t="s">
        <v>22</v>
      </c>
      <c r="I7" s="1" t="s">
        <v>23</v>
      </c>
      <c r="J7" s="1" t="s">
        <v>43</v>
      </c>
      <c r="L7" s="1" t="s">
        <v>60</v>
      </c>
      <c r="M7" s="1" t="s">
        <v>64</v>
      </c>
    </row>
    <row r="8" spans="1:14" ht="45" x14ac:dyDescent="0.25">
      <c r="A8" s="2">
        <v>45663</v>
      </c>
      <c r="B8" s="2">
        <v>45663</v>
      </c>
      <c r="C8" s="1" t="s">
        <v>70</v>
      </c>
      <c r="D8" s="1" t="s">
        <v>61</v>
      </c>
      <c r="E8" s="1" t="s">
        <v>119</v>
      </c>
      <c r="G8" s="1" t="s">
        <v>114</v>
      </c>
      <c r="H8" s="1" t="s">
        <v>42</v>
      </c>
      <c r="I8" s="1" t="s">
        <v>115</v>
      </c>
      <c r="J8" s="1" t="s">
        <v>56</v>
      </c>
      <c r="L8" s="1" t="s">
        <v>57</v>
      </c>
    </row>
    <row r="9" spans="1:14" ht="45" x14ac:dyDescent="0.25">
      <c r="A9" s="2">
        <v>45663</v>
      </c>
      <c r="B9" s="2">
        <v>45663</v>
      </c>
      <c r="C9" s="1" t="s">
        <v>70</v>
      </c>
      <c r="D9" s="1" t="s">
        <v>61</v>
      </c>
      <c r="E9" s="1" t="s">
        <v>118</v>
      </c>
      <c r="G9" s="1" t="s">
        <v>116</v>
      </c>
      <c r="H9" s="1" t="s">
        <v>42</v>
      </c>
      <c r="I9" s="1" t="s">
        <v>115</v>
      </c>
      <c r="J9" s="1" t="s">
        <v>56</v>
      </c>
      <c r="L9" s="1" t="s">
        <v>57</v>
      </c>
    </row>
    <row r="10" spans="1:14" ht="30" x14ac:dyDescent="0.25">
      <c r="A10" s="2">
        <v>45682</v>
      </c>
      <c r="B10" s="2">
        <v>45682</v>
      </c>
      <c r="C10" s="1" t="s">
        <v>94</v>
      </c>
      <c r="D10" s="1" t="s">
        <v>77</v>
      </c>
      <c r="F10" s="1" t="s">
        <v>122</v>
      </c>
      <c r="G10" s="1" t="s">
        <v>120</v>
      </c>
      <c r="H10" s="1" t="s">
        <v>22</v>
      </c>
      <c r="I10" s="1" t="s">
        <v>23</v>
      </c>
      <c r="J10" s="1" t="s">
        <v>43</v>
      </c>
      <c r="L10" s="1" t="s">
        <v>60</v>
      </c>
      <c r="M10" s="1" t="s">
        <v>64</v>
      </c>
    </row>
    <row r="11" spans="1:14" ht="30" x14ac:dyDescent="0.25">
      <c r="A11" s="2">
        <v>45682</v>
      </c>
      <c r="B11" s="2">
        <v>45686</v>
      </c>
      <c r="C11" s="1" t="s">
        <v>18</v>
      </c>
      <c r="D11" s="1" t="s">
        <v>18</v>
      </c>
      <c r="F11" s="1" t="s">
        <v>134</v>
      </c>
      <c r="G11" s="1" t="s">
        <v>121</v>
      </c>
      <c r="H11" s="1" t="s">
        <v>22</v>
      </c>
      <c r="I11" s="1" t="s">
        <v>24</v>
      </c>
      <c r="J11" s="1">
        <v>135</v>
      </c>
      <c r="L11" s="1" t="s">
        <v>76</v>
      </c>
      <c r="M11" s="1" t="s">
        <v>90</v>
      </c>
    </row>
    <row r="12" spans="1:14" ht="30" x14ac:dyDescent="0.25">
      <c r="A12" s="2">
        <v>45687</v>
      </c>
      <c r="B12" s="2">
        <v>45696</v>
      </c>
      <c r="C12" s="1" t="s">
        <v>86</v>
      </c>
      <c r="D12" s="1" t="s">
        <v>77</v>
      </c>
      <c r="E12" s="1" t="s">
        <v>171</v>
      </c>
      <c r="F12" s="1" t="s">
        <v>172</v>
      </c>
      <c r="G12" s="1" t="s">
        <v>123</v>
      </c>
      <c r="H12" s="1" t="s">
        <v>22</v>
      </c>
      <c r="I12" s="1" t="s">
        <v>23</v>
      </c>
      <c r="J12" s="1">
        <v>135</v>
      </c>
      <c r="L12" s="1" t="s">
        <v>98</v>
      </c>
      <c r="M12" s="1" t="s">
        <v>103</v>
      </c>
    </row>
    <row r="13" spans="1:14" ht="45" x14ac:dyDescent="0.25">
      <c r="A13" s="2">
        <v>45686</v>
      </c>
      <c r="B13" s="2">
        <v>45686</v>
      </c>
      <c r="C13" s="1" t="s">
        <v>70</v>
      </c>
      <c r="D13" s="1" t="s">
        <v>77</v>
      </c>
      <c r="E13" s="1" t="s">
        <v>125</v>
      </c>
      <c r="G13" s="1" t="s">
        <v>124</v>
      </c>
      <c r="H13" s="1" t="s">
        <v>28</v>
      </c>
      <c r="I13" s="1" t="s">
        <v>95</v>
      </c>
      <c r="J13" s="1" t="s">
        <v>25</v>
      </c>
      <c r="L13" s="1" t="s">
        <v>46</v>
      </c>
      <c r="M13" s="1" t="s">
        <v>27</v>
      </c>
    </row>
    <row r="14" spans="1:14" ht="60" x14ac:dyDescent="0.25">
      <c r="A14" s="2">
        <v>45687</v>
      </c>
      <c r="B14" s="2">
        <v>45687</v>
      </c>
      <c r="C14" s="1" t="s">
        <v>94</v>
      </c>
      <c r="D14" s="1" t="s">
        <v>61</v>
      </c>
      <c r="E14" s="1" t="s">
        <v>132</v>
      </c>
      <c r="G14" s="1" t="s">
        <v>133</v>
      </c>
      <c r="H14" s="1" t="s">
        <v>22</v>
      </c>
      <c r="I14" s="1" t="s">
        <v>126</v>
      </c>
      <c r="J14" s="1" t="s">
        <v>56</v>
      </c>
      <c r="L14" s="1" t="s">
        <v>57</v>
      </c>
      <c r="M14" s="1" t="s">
        <v>112</v>
      </c>
    </row>
    <row r="15" spans="1:14" ht="30" x14ac:dyDescent="0.25">
      <c r="A15" s="2">
        <v>45687</v>
      </c>
      <c r="B15" s="2">
        <v>45687</v>
      </c>
      <c r="C15" s="1" t="s">
        <v>70</v>
      </c>
      <c r="D15" s="1" t="s">
        <v>61</v>
      </c>
      <c r="E15" s="1" t="s">
        <v>135</v>
      </c>
      <c r="G15" s="1" t="s">
        <v>164</v>
      </c>
      <c r="H15" s="1" t="s">
        <v>22</v>
      </c>
      <c r="I15" s="1" t="s">
        <v>55</v>
      </c>
      <c r="J15" s="1" t="s">
        <v>56</v>
      </c>
      <c r="L15" s="1" t="s">
        <v>57</v>
      </c>
      <c r="M15" s="1" t="s">
        <v>58</v>
      </c>
    </row>
    <row r="16" spans="1:14" ht="75" x14ac:dyDescent="0.25">
      <c r="A16" s="2">
        <v>45696</v>
      </c>
      <c r="B16" s="2">
        <v>45696</v>
      </c>
      <c r="C16" s="1" t="s">
        <v>86</v>
      </c>
      <c r="D16" s="1" t="s">
        <v>156</v>
      </c>
      <c r="E16" s="1" t="s">
        <v>157</v>
      </c>
      <c r="G16" s="1" t="s">
        <v>128</v>
      </c>
      <c r="H16" s="1" t="s">
        <v>17</v>
      </c>
      <c r="I16" s="1" t="s">
        <v>67</v>
      </c>
      <c r="J16" s="1" t="s">
        <v>56</v>
      </c>
      <c r="L16" s="1" t="s">
        <v>57</v>
      </c>
      <c r="M16" s="1" t="s">
        <v>112</v>
      </c>
    </row>
    <row r="17" spans="1:13" ht="75" x14ac:dyDescent="0.25">
      <c r="A17" s="2">
        <v>45696</v>
      </c>
      <c r="B17" s="2">
        <v>45696</v>
      </c>
      <c r="C17" s="1" t="s">
        <v>86</v>
      </c>
      <c r="D17" s="1" t="s">
        <v>156</v>
      </c>
      <c r="E17" s="1" t="s">
        <v>157</v>
      </c>
      <c r="G17" s="1" t="s">
        <v>127</v>
      </c>
      <c r="H17" s="1" t="s">
        <v>17</v>
      </c>
      <c r="I17" s="1" t="s">
        <v>67</v>
      </c>
      <c r="J17" s="1" t="s">
        <v>56</v>
      </c>
      <c r="L17" s="1" t="s">
        <v>57</v>
      </c>
      <c r="M17" s="1" t="s">
        <v>112</v>
      </c>
    </row>
    <row r="18" spans="1:13" ht="30" x14ac:dyDescent="0.25">
      <c r="A18" s="2">
        <v>45696</v>
      </c>
      <c r="B18" s="2">
        <v>45696</v>
      </c>
      <c r="C18" s="1" t="s">
        <v>70</v>
      </c>
      <c r="D18" s="1" t="s">
        <v>61</v>
      </c>
      <c r="G18" s="1" t="s">
        <v>129</v>
      </c>
      <c r="H18" s="1" t="s">
        <v>22</v>
      </c>
      <c r="I18" s="1" t="s">
        <v>55</v>
      </c>
      <c r="J18" s="1" t="s">
        <v>56</v>
      </c>
      <c r="L18" s="1" t="s">
        <v>57</v>
      </c>
      <c r="M18" s="1" t="s">
        <v>136</v>
      </c>
    </row>
    <row r="19" spans="1:13" ht="30" x14ac:dyDescent="0.25">
      <c r="A19" s="2">
        <v>45698</v>
      </c>
      <c r="B19" s="2">
        <v>45698</v>
      </c>
      <c r="C19" s="1" t="s">
        <v>41</v>
      </c>
      <c r="D19" s="1" t="s">
        <v>77</v>
      </c>
      <c r="E19" s="1" t="s">
        <v>146</v>
      </c>
      <c r="G19" s="1" t="s">
        <v>130</v>
      </c>
      <c r="H19" s="1" t="s">
        <v>28</v>
      </c>
      <c r="I19" s="1" t="s">
        <v>29</v>
      </c>
      <c r="J19" s="1" t="s">
        <v>43</v>
      </c>
      <c r="K19" s="1" t="s">
        <v>44</v>
      </c>
      <c r="L19" s="1" t="s">
        <v>60</v>
      </c>
      <c r="M19" s="1" t="s">
        <v>64</v>
      </c>
    </row>
    <row r="20" spans="1:13" ht="75" x14ac:dyDescent="0.25">
      <c r="A20" s="2">
        <v>45698</v>
      </c>
      <c r="B20" s="2">
        <v>45698</v>
      </c>
      <c r="C20" s="1" t="s">
        <v>86</v>
      </c>
      <c r="D20" s="1" t="s">
        <v>77</v>
      </c>
      <c r="E20" s="1" t="s">
        <v>152</v>
      </c>
      <c r="G20" s="1" t="s">
        <v>131</v>
      </c>
      <c r="H20" s="1" t="s">
        <v>34</v>
      </c>
      <c r="I20" s="1" t="s">
        <v>63</v>
      </c>
      <c r="J20" s="1" t="s">
        <v>43</v>
      </c>
      <c r="L20" s="1" t="s">
        <v>60</v>
      </c>
      <c r="M20" s="1" t="s">
        <v>64</v>
      </c>
    </row>
    <row r="21" spans="1:13" ht="45" x14ac:dyDescent="0.25">
      <c r="A21" s="2">
        <v>45700</v>
      </c>
      <c r="B21" s="2">
        <v>45700</v>
      </c>
      <c r="C21" s="1" t="s">
        <v>143</v>
      </c>
      <c r="D21" s="1" t="s">
        <v>77</v>
      </c>
      <c r="E21" s="1" t="s">
        <v>147</v>
      </c>
      <c r="F21" s="1" t="s">
        <v>148</v>
      </c>
      <c r="G21" s="1" t="s">
        <v>137</v>
      </c>
      <c r="H21" s="1" t="s">
        <v>22</v>
      </c>
      <c r="I21" s="1" t="s">
        <v>53</v>
      </c>
      <c r="J21" s="1" t="s">
        <v>43</v>
      </c>
      <c r="L21" s="1" t="s">
        <v>108</v>
      </c>
      <c r="M21" s="1" t="s">
        <v>64</v>
      </c>
    </row>
    <row r="22" spans="1:13" ht="30" x14ac:dyDescent="0.25">
      <c r="A22" s="2">
        <v>45704</v>
      </c>
      <c r="B22" s="2">
        <v>45707</v>
      </c>
      <c r="C22" s="1" t="s">
        <v>86</v>
      </c>
      <c r="D22" s="1" t="s">
        <v>77</v>
      </c>
      <c r="E22" s="1" t="s">
        <v>180</v>
      </c>
      <c r="F22" s="1" t="s">
        <v>181</v>
      </c>
      <c r="G22" s="1" t="s">
        <v>138</v>
      </c>
      <c r="H22" s="1" t="s">
        <v>49</v>
      </c>
      <c r="I22" s="1" t="s">
        <v>101</v>
      </c>
      <c r="J22" s="1">
        <v>135</v>
      </c>
      <c r="L22" s="1" t="s">
        <v>76</v>
      </c>
    </row>
    <row r="23" spans="1:13" ht="30" x14ac:dyDescent="0.25">
      <c r="A23" s="2">
        <v>45706</v>
      </c>
      <c r="B23" s="2">
        <v>45706</v>
      </c>
      <c r="C23" s="1" t="s">
        <v>86</v>
      </c>
      <c r="D23" s="1" t="s">
        <v>77</v>
      </c>
      <c r="E23" s="1" t="s">
        <v>153</v>
      </c>
      <c r="G23" s="1" t="s">
        <v>139</v>
      </c>
      <c r="H23" s="1" t="s">
        <v>34</v>
      </c>
      <c r="I23" s="1" t="s">
        <v>63</v>
      </c>
      <c r="J23" s="1" t="s">
        <v>43</v>
      </c>
      <c r="L23" s="1" t="s">
        <v>60</v>
      </c>
      <c r="M23" s="1" t="s">
        <v>64</v>
      </c>
    </row>
    <row r="24" spans="1:13" ht="90" x14ac:dyDescent="0.25">
      <c r="A24" s="2">
        <v>45707</v>
      </c>
      <c r="B24" s="2">
        <v>45708</v>
      </c>
      <c r="C24" s="1" t="s">
        <v>143</v>
      </c>
      <c r="D24" s="1" t="s">
        <v>77</v>
      </c>
      <c r="E24" s="1" t="s">
        <v>144</v>
      </c>
      <c r="F24" s="1" t="s">
        <v>145</v>
      </c>
      <c r="G24" s="1" t="s">
        <v>140</v>
      </c>
      <c r="H24" s="1" t="s">
        <v>17</v>
      </c>
      <c r="I24" s="1" t="s">
        <v>79</v>
      </c>
      <c r="J24" s="1">
        <v>135</v>
      </c>
      <c r="L24" s="1" t="s">
        <v>76</v>
      </c>
      <c r="M24" s="1" t="s">
        <v>92</v>
      </c>
    </row>
    <row r="25" spans="1:13" ht="45" x14ac:dyDescent="0.25">
      <c r="A25" s="2">
        <v>45708</v>
      </c>
      <c r="B25" s="2">
        <v>45735</v>
      </c>
      <c r="C25" s="1" t="s">
        <v>86</v>
      </c>
      <c r="D25" s="1" t="s">
        <v>77</v>
      </c>
      <c r="F25" s="1" t="s">
        <v>173</v>
      </c>
      <c r="G25" s="1" t="s">
        <v>160</v>
      </c>
      <c r="H25" s="1" t="s">
        <v>17</v>
      </c>
      <c r="I25" s="1" t="s">
        <v>97</v>
      </c>
      <c r="J25" s="1">
        <v>135</v>
      </c>
      <c r="L25" s="1" t="s">
        <v>76</v>
      </c>
      <c r="M25" s="1" t="s">
        <v>92</v>
      </c>
    </row>
    <row r="26" spans="1:13" ht="30" x14ac:dyDescent="0.25">
      <c r="A26" s="2">
        <v>45708</v>
      </c>
      <c r="B26" s="2">
        <v>45708</v>
      </c>
      <c r="C26" s="1" t="s">
        <v>143</v>
      </c>
      <c r="D26" s="1" t="s">
        <v>77</v>
      </c>
      <c r="E26" s="1" t="s">
        <v>162</v>
      </c>
      <c r="F26" s="1" t="s">
        <v>161</v>
      </c>
      <c r="G26" s="1" t="s">
        <v>141</v>
      </c>
      <c r="H26" s="1" t="s">
        <v>22</v>
      </c>
      <c r="I26" s="1" t="s">
        <v>142</v>
      </c>
      <c r="J26" s="1" t="s">
        <v>43</v>
      </c>
      <c r="L26" s="1" t="s">
        <v>60</v>
      </c>
      <c r="M26" s="1" t="s">
        <v>64</v>
      </c>
    </row>
    <row r="27" spans="1:13" ht="60" x14ac:dyDescent="0.25">
      <c r="A27" s="2">
        <v>45715</v>
      </c>
      <c r="B27" s="2">
        <v>45715</v>
      </c>
      <c r="C27" s="1" t="s">
        <v>143</v>
      </c>
      <c r="D27" s="1" t="s">
        <v>77</v>
      </c>
      <c r="E27" s="1" t="s">
        <v>151</v>
      </c>
      <c r="G27" s="1" t="s">
        <v>149</v>
      </c>
      <c r="H27" s="1" t="s">
        <v>22</v>
      </c>
      <c r="I27" s="1" t="s">
        <v>150</v>
      </c>
      <c r="J27" s="1" t="s">
        <v>69</v>
      </c>
      <c r="L27" s="1" t="s">
        <v>60</v>
      </c>
      <c r="M27" s="1" t="s">
        <v>64</v>
      </c>
    </row>
    <row r="28" spans="1:13" x14ac:dyDescent="0.25">
      <c r="A28" s="2">
        <v>45728</v>
      </c>
      <c r="B28" s="2">
        <v>45733</v>
      </c>
      <c r="C28" s="1" t="s">
        <v>41</v>
      </c>
      <c r="D28" s="1" t="s">
        <v>77</v>
      </c>
      <c r="F28" s="1" t="s">
        <v>165</v>
      </c>
      <c r="G28" s="1" t="s">
        <v>75</v>
      </c>
      <c r="H28" s="1" t="s">
        <v>28</v>
      </c>
      <c r="I28" s="1" t="s">
        <v>29</v>
      </c>
      <c r="J28" s="1" t="s">
        <v>25</v>
      </c>
      <c r="K28" s="1" t="s">
        <v>36</v>
      </c>
      <c r="L28" s="1" t="s">
        <v>154</v>
      </c>
      <c r="M28" s="1" t="s">
        <v>27</v>
      </c>
    </row>
    <row r="29" spans="1:13" ht="60" x14ac:dyDescent="0.25">
      <c r="A29" s="2">
        <v>45733</v>
      </c>
      <c r="B29" s="2">
        <v>45733</v>
      </c>
      <c r="C29" s="1" t="s">
        <v>70</v>
      </c>
      <c r="D29" s="1" t="s">
        <v>61</v>
      </c>
      <c r="E29" s="1" t="s">
        <v>159</v>
      </c>
      <c r="G29" s="1" t="s">
        <v>155</v>
      </c>
      <c r="H29" s="1" t="s">
        <v>42</v>
      </c>
      <c r="I29" s="1" t="s">
        <v>115</v>
      </c>
      <c r="J29" s="1" t="s">
        <v>56</v>
      </c>
      <c r="L29" s="1" t="s">
        <v>57</v>
      </c>
      <c r="M29" s="1" t="s">
        <v>58</v>
      </c>
    </row>
    <row r="30" spans="1:13" ht="45" x14ac:dyDescent="0.25">
      <c r="A30" s="2">
        <v>45733</v>
      </c>
      <c r="B30" s="2">
        <v>45733</v>
      </c>
      <c r="C30" s="1" t="s">
        <v>70</v>
      </c>
      <c r="D30" s="1" t="s">
        <v>61</v>
      </c>
      <c r="E30" s="1" t="s">
        <v>163</v>
      </c>
      <c r="G30" s="1" t="s">
        <v>158</v>
      </c>
      <c r="H30" s="1" t="s">
        <v>42</v>
      </c>
      <c r="I30" s="1" t="s">
        <v>115</v>
      </c>
      <c r="J30" s="1" t="s">
        <v>56</v>
      </c>
      <c r="L30" s="1" t="s">
        <v>57</v>
      </c>
      <c r="M30" s="1" t="s">
        <v>58</v>
      </c>
    </row>
    <row r="31" spans="1:13" ht="30" x14ac:dyDescent="0.25">
      <c r="A31" s="2">
        <v>45736</v>
      </c>
      <c r="B31" s="2">
        <v>45736</v>
      </c>
      <c r="C31" s="1" t="s">
        <v>86</v>
      </c>
      <c r="D31" s="1" t="s">
        <v>77</v>
      </c>
      <c r="F31" s="1" t="s">
        <v>167</v>
      </c>
      <c r="G31" s="1" t="s">
        <v>166</v>
      </c>
      <c r="H31" s="1" t="s">
        <v>34</v>
      </c>
      <c r="I31" s="1" t="s">
        <v>35</v>
      </c>
      <c r="J31" s="1" t="s">
        <v>25</v>
      </c>
      <c r="L31" s="1" t="s">
        <v>154</v>
      </c>
      <c r="M31" s="1" t="s">
        <v>27</v>
      </c>
    </row>
    <row r="32" spans="1:13" ht="45" x14ac:dyDescent="0.25">
      <c r="A32" s="2">
        <v>45738</v>
      </c>
      <c r="B32" s="2">
        <v>45739</v>
      </c>
      <c r="C32" s="1" t="s">
        <v>41</v>
      </c>
      <c r="D32" s="1" t="s">
        <v>77</v>
      </c>
      <c r="E32" s="1" t="s">
        <v>175</v>
      </c>
      <c r="F32" s="1" t="s">
        <v>176</v>
      </c>
      <c r="G32" s="1" t="s">
        <v>168</v>
      </c>
      <c r="H32" s="1" t="s">
        <v>28</v>
      </c>
      <c r="I32" s="1" t="s">
        <v>37</v>
      </c>
      <c r="J32" s="1">
        <v>135</v>
      </c>
      <c r="L32" s="1" t="s">
        <v>76</v>
      </c>
      <c r="M32" s="1" t="s">
        <v>90</v>
      </c>
    </row>
    <row r="33" spans="1:13" ht="30" x14ac:dyDescent="0.25">
      <c r="A33" s="2">
        <v>45740</v>
      </c>
      <c r="B33" s="2">
        <v>45749</v>
      </c>
      <c r="C33" s="1" t="s">
        <v>86</v>
      </c>
      <c r="D33" s="1" t="s">
        <v>77</v>
      </c>
      <c r="E33" s="1" t="s">
        <v>177</v>
      </c>
      <c r="F33" s="1" t="s">
        <v>178</v>
      </c>
      <c r="G33" s="1" t="s">
        <v>170</v>
      </c>
      <c r="H33" s="1" t="s">
        <v>49</v>
      </c>
      <c r="I33" s="1" t="s">
        <v>169</v>
      </c>
      <c r="J33" s="1">
        <v>135</v>
      </c>
      <c r="L33" s="1" t="s">
        <v>73</v>
      </c>
      <c r="M33" s="1" t="s">
        <v>27</v>
      </c>
    </row>
    <row r="34" spans="1:13" ht="30" x14ac:dyDescent="0.25">
      <c r="A34" s="2">
        <v>45742</v>
      </c>
      <c r="B34" s="2">
        <v>45750</v>
      </c>
      <c r="C34" s="1" t="s">
        <v>86</v>
      </c>
      <c r="D34" s="1" t="s">
        <v>77</v>
      </c>
      <c r="E34" s="1" t="s">
        <v>179</v>
      </c>
      <c r="F34" s="1" t="s">
        <v>182</v>
      </c>
      <c r="G34" s="1" t="s">
        <v>174</v>
      </c>
      <c r="H34" s="1" t="s">
        <v>49</v>
      </c>
      <c r="I34" s="1" t="s">
        <v>74</v>
      </c>
      <c r="J34" s="1">
        <v>135</v>
      </c>
      <c r="L34" s="1" t="s">
        <v>98</v>
      </c>
    </row>
    <row r="35" spans="1:13" ht="30" x14ac:dyDescent="0.25">
      <c r="A35" s="2">
        <v>45757</v>
      </c>
      <c r="B35" s="2">
        <v>45757</v>
      </c>
      <c r="C35" s="1" t="s">
        <v>86</v>
      </c>
      <c r="D35" s="1" t="s">
        <v>77</v>
      </c>
      <c r="E35" s="1" t="s">
        <v>190</v>
      </c>
      <c r="G35" s="1" t="s">
        <v>183</v>
      </c>
      <c r="H35" s="1" t="s">
        <v>34</v>
      </c>
      <c r="I35" s="1" t="s">
        <v>63</v>
      </c>
      <c r="J35" s="1" t="s">
        <v>25</v>
      </c>
      <c r="K35" s="1" t="s">
        <v>36</v>
      </c>
      <c r="L35" s="1" t="s">
        <v>154</v>
      </c>
      <c r="M35" s="1" t="s">
        <v>27</v>
      </c>
    </row>
    <row r="36" spans="1:13" x14ac:dyDescent="0.25">
      <c r="A36" s="2">
        <v>45757</v>
      </c>
      <c r="B36" s="2">
        <v>45757</v>
      </c>
      <c r="G36" s="1" t="s">
        <v>184</v>
      </c>
      <c r="H36" s="1" t="s">
        <v>102</v>
      </c>
      <c r="I36" s="1" t="s">
        <v>169</v>
      </c>
      <c r="J36" s="1">
        <v>135</v>
      </c>
      <c r="L36" s="1" t="s">
        <v>98</v>
      </c>
      <c r="M36" s="1" t="s">
        <v>103</v>
      </c>
    </row>
    <row r="37" spans="1:13" ht="45" x14ac:dyDescent="0.25">
      <c r="A37" s="2">
        <v>45758</v>
      </c>
      <c r="B37" s="2">
        <v>45758</v>
      </c>
      <c r="C37" s="1" t="s">
        <v>86</v>
      </c>
      <c r="D37" s="1" t="s">
        <v>86</v>
      </c>
      <c r="E37" s="1" t="s">
        <v>191</v>
      </c>
      <c r="G37" s="1" t="s">
        <v>185</v>
      </c>
      <c r="H37" s="1" t="s">
        <v>71</v>
      </c>
      <c r="I37" s="1" t="s">
        <v>72</v>
      </c>
      <c r="J37" s="1" t="s">
        <v>43</v>
      </c>
      <c r="L37" s="1" t="s">
        <v>60</v>
      </c>
      <c r="M37" s="1" t="s">
        <v>64</v>
      </c>
    </row>
    <row r="38" spans="1:13" ht="30" x14ac:dyDescent="0.25">
      <c r="A38" s="2">
        <v>45758</v>
      </c>
      <c r="B38" s="2">
        <v>45758</v>
      </c>
      <c r="G38" s="1" t="s">
        <v>186</v>
      </c>
      <c r="H38" s="1" t="s">
        <v>22</v>
      </c>
      <c r="I38" s="1" t="s">
        <v>23</v>
      </c>
      <c r="J38" s="1" t="s">
        <v>43</v>
      </c>
      <c r="K38" s="1" t="s">
        <v>36</v>
      </c>
      <c r="L38" s="1" t="s">
        <v>60</v>
      </c>
      <c r="M38" s="1" t="s">
        <v>64</v>
      </c>
    </row>
    <row r="39" spans="1:13" ht="30" x14ac:dyDescent="0.25">
      <c r="A39" s="2">
        <v>45758</v>
      </c>
      <c r="B39" s="2" t="s">
        <v>99</v>
      </c>
      <c r="G39" s="1" t="s">
        <v>75</v>
      </c>
      <c r="H39" s="1" t="s">
        <v>102</v>
      </c>
      <c r="I39" s="1" t="s">
        <v>169</v>
      </c>
      <c r="J39" s="1" t="s">
        <v>187</v>
      </c>
      <c r="L39" s="1" t="s">
        <v>188</v>
      </c>
      <c r="M39" s="1" t="s">
        <v>27</v>
      </c>
    </row>
    <row r="40" spans="1:13" ht="45" x14ac:dyDescent="0.25">
      <c r="A40" s="2">
        <v>45760</v>
      </c>
      <c r="B40" s="2">
        <v>45760</v>
      </c>
      <c r="C40" s="1" t="s">
        <v>86</v>
      </c>
      <c r="D40" s="1" t="s">
        <v>86</v>
      </c>
      <c r="F40" s="1" t="s">
        <v>192</v>
      </c>
      <c r="G40" s="1" t="s">
        <v>189</v>
      </c>
      <c r="H40" s="1" t="s">
        <v>22</v>
      </c>
      <c r="I40" s="1" t="s">
        <v>96</v>
      </c>
      <c r="J40" s="1">
        <v>135</v>
      </c>
      <c r="L40" s="1" t="s">
        <v>76</v>
      </c>
      <c r="M40" s="1" t="s">
        <v>92</v>
      </c>
    </row>
    <row r="41" spans="1:13" x14ac:dyDescent="0.25">
      <c r="A41" s="2"/>
      <c r="B41" s="2"/>
    </row>
    <row r="42" spans="1:13" x14ac:dyDescent="0.25">
      <c r="A42" s="2"/>
      <c r="B42" s="2"/>
    </row>
    <row r="43" spans="1:13" x14ac:dyDescent="0.25">
      <c r="A43" s="2"/>
      <c r="B43" s="2"/>
    </row>
    <row r="44" spans="1:13" x14ac:dyDescent="0.25">
      <c r="A44" s="2"/>
      <c r="B44" s="2"/>
    </row>
    <row r="45" spans="1:13" x14ac:dyDescent="0.25">
      <c r="A45" s="2"/>
      <c r="B45" s="2"/>
    </row>
    <row r="46" spans="1:13" x14ac:dyDescent="0.25">
      <c r="A46" s="2"/>
      <c r="B46" s="2"/>
    </row>
    <row r="47" spans="1:13" x14ac:dyDescent="0.25">
      <c r="A47" s="2"/>
      <c r="B47" s="2"/>
    </row>
    <row r="48" spans="1:13" x14ac:dyDescent="0.25">
      <c r="A48" s="2"/>
      <c r="B48" s="2"/>
    </row>
    <row r="49" spans="1:2" x14ac:dyDescent="0.25">
      <c r="A49" s="2"/>
      <c r="B49" s="2"/>
    </row>
    <row r="50" spans="1:2" x14ac:dyDescent="0.25">
      <c r="A50" s="2"/>
      <c r="B50" s="2"/>
    </row>
    <row r="51" spans="1:2" x14ac:dyDescent="0.25">
      <c r="A51" s="2"/>
      <c r="B51" s="2"/>
    </row>
    <row r="52" spans="1:2" x14ac:dyDescent="0.25">
      <c r="A52" s="2"/>
    </row>
    <row r="53" spans="1:2" x14ac:dyDescent="0.25">
      <c r="A53" s="2"/>
    </row>
    <row r="54" spans="1:2" x14ac:dyDescent="0.25">
      <c r="A54" s="2"/>
    </row>
    <row r="55" spans="1:2" x14ac:dyDescent="0.25">
      <c r="A55" s="2"/>
    </row>
    <row r="56" spans="1:2" x14ac:dyDescent="0.25">
      <c r="A56" s="2"/>
    </row>
    <row r="57" spans="1:2" x14ac:dyDescent="0.25">
      <c r="A57" s="2"/>
    </row>
    <row r="58" spans="1:2" x14ac:dyDescent="0.25">
      <c r="A58" s="2"/>
    </row>
    <row r="59" spans="1:2" x14ac:dyDescent="0.25">
      <c r="A59" s="2"/>
    </row>
    <row r="60" spans="1:2" x14ac:dyDescent="0.25">
      <c r="A60" s="2"/>
    </row>
    <row r="61" spans="1:2" x14ac:dyDescent="0.25">
      <c r="A61" s="2"/>
    </row>
    <row r="62" spans="1:2" x14ac:dyDescent="0.25">
      <c r="A62" s="2"/>
    </row>
    <row r="63" spans="1:2" x14ac:dyDescent="0.25">
      <c r="A63" s="2"/>
    </row>
    <row r="64" spans="1:2"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row r="293" spans="1:1" x14ac:dyDescent="0.25">
      <c r="A293" s="2"/>
    </row>
    <row r="294" spans="1:1" x14ac:dyDescent="0.25">
      <c r="A294" s="2"/>
    </row>
    <row r="295" spans="1:1" x14ac:dyDescent="0.25">
      <c r="A295" s="2"/>
    </row>
    <row r="296" spans="1:1" x14ac:dyDescent="0.25">
      <c r="A296" s="2"/>
    </row>
    <row r="297" spans="1:1" x14ac:dyDescent="0.25">
      <c r="A297" s="2"/>
    </row>
    <row r="298" spans="1:1" x14ac:dyDescent="0.25">
      <c r="A298" s="2"/>
    </row>
    <row r="299" spans="1:1" x14ac:dyDescent="0.25">
      <c r="A299" s="2"/>
    </row>
    <row r="300" spans="1:1" x14ac:dyDescent="0.25">
      <c r="A300" s="2"/>
    </row>
    <row r="301" spans="1:1" x14ac:dyDescent="0.25">
      <c r="A301" s="2"/>
    </row>
    <row r="302" spans="1:1" x14ac:dyDescent="0.25">
      <c r="A302" s="2"/>
    </row>
    <row r="303" spans="1:1" x14ac:dyDescent="0.25">
      <c r="A303" s="2"/>
    </row>
    <row r="304" spans="1:1" x14ac:dyDescent="0.25">
      <c r="A304" s="2"/>
    </row>
    <row r="305" spans="1:1" x14ac:dyDescent="0.25">
      <c r="A305" s="2"/>
    </row>
    <row r="306" spans="1:1" x14ac:dyDescent="0.25">
      <c r="A306" s="2"/>
    </row>
    <row r="307" spans="1:1" x14ac:dyDescent="0.25">
      <c r="A307" s="2"/>
    </row>
    <row r="308" spans="1:1" x14ac:dyDescent="0.25">
      <c r="A308" s="2"/>
    </row>
    <row r="309" spans="1:1" x14ac:dyDescent="0.25">
      <c r="A309" s="2"/>
    </row>
    <row r="310" spans="1:1" x14ac:dyDescent="0.25">
      <c r="A310" s="2"/>
    </row>
    <row r="311" spans="1:1" x14ac:dyDescent="0.25">
      <c r="A311" s="2"/>
    </row>
    <row r="312" spans="1:1" x14ac:dyDescent="0.25">
      <c r="A312" s="2"/>
    </row>
    <row r="313" spans="1:1" x14ac:dyDescent="0.25">
      <c r="A313" s="2"/>
    </row>
    <row r="314" spans="1:1" x14ac:dyDescent="0.25">
      <c r="A314" s="2"/>
    </row>
    <row r="315" spans="1:1" x14ac:dyDescent="0.25">
      <c r="A315" s="2"/>
    </row>
    <row r="316" spans="1:1" x14ac:dyDescent="0.25">
      <c r="A316" s="2"/>
    </row>
    <row r="317" spans="1:1" x14ac:dyDescent="0.25">
      <c r="A317" s="2"/>
    </row>
    <row r="318" spans="1:1" x14ac:dyDescent="0.25">
      <c r="A318" s="2"/>
    </row>
    <row r="319" spans="1:1" x14ac:dyDescent="0.25">
      <c r="A319" s="2"/>
    </row>
    <row r="320" spans="1:1" x14ac:dyDescent="0.25">
      <c r="A320" s="2"/>
    </row>
    <row r="321" spans="1:1" x14ac:dyDescent="0.25">
      <c r="A321" s="2"/>
    </row>
    <row r="322" spans="1:1" x14ac:dyDescent="0.25">
      <c r="A322" s="2"/>
    </row>
    <row r="323" spans="1:1" x14ac:dyDescent="0.25">
      <c r="A323" s="2"/>
    </row>
    <row r="324" spans="1:1" x14ac:dyDescent="0.25">
      <c r="A324" s="2"/>
    </row>
    <row r="325" spans="1:1" x14ac:dyDescent="0.25">
      <c r="A325" s="2"/>
    </row>
    <row r="326" spans="1:1" x14ac:dyDescent="0.25">
      <c r="A326" s="2"/>
    </row>
    <row r="327" spans="1:1" x14ac:dyDescent="0.25">
      <c r="A327" s="2"/>
    </row>
    <row r="328" spans="1:1" x14ac:dyDescent="0.25">
      <c r="A328" s="2"/>
    </row>
    <row r="329" spans="1:1" x14ac:dyDescent="0.25">
      <c r="A329" s="2"/>
    </row>
    <row r="330" spans="1:1" x14ac:dyDescent="0.25">
      <c r="A330" s="2"/>
    </row>
    <row r="331" spans="1:1" x14ac:dyDescent="0.25">
      <c r="A331" s="2"/>
    </row>
    <row r="332" spans="1:1" x14ac:dyDescent="0.25">
      <c r="A332" s="2"/>
    </row>
    <row r="333" spans="1:1" x14ac:dyDescent="0.25">
      <c r="A333" s="2"/>
    </row>
    <row r="334" spans="1:1" x14ac:dyDescent="0.25">
      <c r="A334" s="2"/>
    </row>
    <row r="335" spans="1:1" x14ac:dyDescent="0.25">
      <c r="A335" s="2"/>
    </row>
    <row r="336" spans="1:1" x14ac:dyDescent="0.25">
      <c r="A336" s="2"/>
    </row>
    <row r="337" spans="1:1" x14ac:dyDescent="0.25">
      <c r="A337" s="2"/>
    </row>
    <row r="338" spans="1:1" x14ac:dyDescent="0.25">
      <c r="A338" s="2"/>
    </row>
    <row r="339" spans="1:1" x14ac:dyDescent="0.25">
      <c r="A339" s="2"/>
    </row>
    <row r="340" spans="1:1" x14ac:dyDescent="0.25">
      <c r="A340" s="2"/>
    </row>
    <row r="341" spans="1:1" x14ac:dyDescent="0.25">
      <c r="A341" s="2"/>
    </row>
    <row r="342" spans="1:1" x14ac:dyDescent="0.25">
      <c r="A342" s="2"/>
    </row>
    <row r="343" spans="1:1" x14ac:dyDescent="0.25">
      <c r="A343" s="2"/>
    </row>
    <row r="344" spans="1:1" x14ac:dyDescent="0.25">
      <c r="A344" s="2"/>
    </row>
    <row r="345" spans="1:1" x14ac:dyDescent="0.25">
      <c r="A345" s="2"/>
    </row>
    <row r="346" spans="1:1" x14ac:dyDescent="0.25">
      <c r="A346" s="2"/>
    </row>
    <row r="347" spans="1:1" x14ac:dyDescent="0.25">
      <c r="A347" s="2"/>
    </row>
    <row r="348" spans="1:1" x14ac:dyDescent="0.25">
      <c r="A348" s="2"/>
    </row>
    <row r="349" spans="1:1" x14ac:dyDescent="0.25">
      <c r="A349" s="2"/>
    </row>
    <row r="350" spans="1:1" x14ac:dyDescent="0.25">
      <c r="A350" s="2"/>
    </row>
    <row r="351" spans="1:1" x14ac:dyDescent="0.25">
      <c r="A351" s="2"/>
    </row>
    <row r="352" spans="1:1" x14ac:dyDescent="0.25">
      <c r="A352" s="2"/>
    </row>
    <row r="353" spans="1:1" x14ac:dyDescent="0.25">
      <c r="A353" s="2"/>
    </row>
    <row r="354" spans="1:1" x14ac:dyDescent="0.25">
      <c r="A354" s="2"/>
    </row>
    <row r="355" spans="1:1" x14ac:dyDescent="0.25">
      <c r="A355" s="2"/>
    </row>
    <row r="356" spans="1:1" x14ac:dyDescent="0.25">
      <c r="A356" s="2"/>
    </row>
    <row r="357" spans="1:1" x14ac:dyDescent="0.25">
      <c r="A357" s="2"/>
    </row>
    <row r="358" spans="1:1" x14ac:dyDescent="0.25">
      <c r="A358" s="2"/>
    </row>
    <row r="359" spans="1:1" x14ac:dyDescent="0.25">
      <c r="A359" s="2"/>
    </row>
    <row r="360" spans="1:1" x14ac:dyDescent="0.25">
      <c r="A360" s="2"/>
    </row>
    <row r="361" spans="1:1" x14ac:dyDescent="0.25">
      <c r="A361" s="2"/>
    </row>
    <row r="362" spans="1:1" x14ac:dyDescent="0.25">
      <c r="A362" s="2"/>
    </row>
    <row r="363" spans="1:1" x14ac:dyDescent="0.25">
      <c r="A363" s="2"/>
    </row>
    <row r="364" spans="1:1" x14ac:dyDescent="0.25">
      <c r="A364" s="2"/>
    </row>
    <row r="365" spans="1:1" x14ac:dyDescent="0.25">
      <c r="A365" s="2"/>
    </row>
    <row r="366" spans="1:1" x14ac:dyDescent="0.25">
      <c r="A366" s="2"/>
    </row>
    <row r="367" spans="1:1" x14ac:dyDescent="0.25">
      <c r="A367" s="2"/>
    </row>
    <row r="368" spans="1:1" x14ac:dyDescent="0.25">
      <c r="A368" s="2"/>
    </row>
    <row r="369" spans="1:1" x14ac:dyDescent="0.25">
      <c r="A369" s="2"/>
    </row>
    <row r="370" spans="1:1" x14ac:dyDescent="0.25">
      <c r="A370" s="2"/>
    </row>
    <row r="371" spans="1:1" x14ac:dyDescent="0.25">
      <c r="A371" s="2"/>
    </row>
    <row r="372" spans="1:1" x14ac:dyDescent="0.25">
      <c r="A372" s="2"/>
    </row>
    <row r="373" spans="1:1" x14ac:dyDescent="0.25">
      <c r="A373" s="2"/>
    </row>
    <row r="374" spans="1:1" x14ac:dyDescent="0.25">
      <c r="A374" s="2"/>
    </row>
    <row r="375" spans="1:1" x14ac:dyDescent="0.25">
      <c r="A375" s="2"/>
    </row>
    <row r="376" spans="1:1" x14ac:dyDescent="0.25">
      <c r="A376" s="2"/>
    </row>
    <row r="377" spans="1:1" x14ac:dyDescent="0.25">
      <c r="A377" s="2"/>
    </row>
    <row r="378" spans="1:1" x14ac:dyDescent="0.25">
      <c r="A378" s="2"/>
    </row>
    <row r="379" spans="1:1" x14ac:dyDescent="0.25">
      <c r="A379" s="2"/>
    </row>
    <row r="380" spans="1:1" x14ac:dyDescent="0.25">
      <c r="A380" s="2"/>
    </row>
    <row r="381" spans="1:1" x14ac:dyDescent="0.25">
      <c r="A381" s="2"/>
    </row>
    <row r="382" spans="1:1" x14ac:dyDescent="0.25">
      <c r="A382" s="2"/>
    </row>
    <row r="383" spans="1:1" x14ac:dyDescent="0.25">
      <c r="A383" s="2"/>
    </row>
    <row r="384" spans="1:1" x14ac:dyDescent="0.25">
      <c r="A384" s="2"/>
    </row>
    <row r="385" spans="1:1" x14ac:dyDescent="0.25">
      <c r="A385" s="2"/>
    </row>
    <row r="386" spans="1:1" x14ac:dyDescent="0.25">
      <c r="A386" s="2"/>
    </row>
    <row r="387" spans="1:1" x14ac:dyDescent="0.25">
      <c r="A387" s="2"/>
    </row>
    <row r="388" spans="1:1" x14ac:dyDescent="0.25">
      <c r="A388" s="2"/>
    </row>
    <row r="389" spans="1:1" x14ac:dyDescent="0.25">
      <c r="A389" s="2"/>
    </row>
    <row r="390" spans="1:1" x14ac:dyDescent="0.25">
      <c r="A390" s="2"/>
    </row>
    <row r="391" spans="1:1" x14ac:dyDescent="0.25">
      <c r="A391" s="2"/>
    </row>
    <row r="392" spans="1:1" x14ac:dyDescent="0.25">
      <c r="A392" s="2"/>
    </row>
    <row r="393" spans="1:1" x14ac:dyDescent="0.25">
      <c r="A393" s="2"/>
    </row>
    <row r="394" spans="1:1" x14ac:dyDescent="0.25">
      <c r="A394" s="2"/>
    </row>
    <row r="395" spans="1:1" x14ac:dyDescent="0.25">
      <c r="A395" s="2"/>
    </row>
    <row r="396" spans="1:1" x14ac:dyDescent="0.25">
      <c r="A396" s="2"/>
    </row>
    <row r="397" spans="1:1" x14ac:dyDescent="0.25">
      <c r="A397" s="2"/>
    </row>
    <row r="398" spans="1:1" x14ac:dyDescent="0.25">
      <c r="A398" s="2"/>
    </row>
    <row r="399" spans="1:1" x14ac:dyDescent="0.25">
      <c r="A399" s="2"/>
    </row>
    <row r="400" spans="1:1" x14ac:dyDescent="0.25">
      <c r="A400" s="2"/>
    </row>
    <row r="401" spans="1:1" x14ac:dyDescent="0.25">
      <c r="A401" s="2"/>
    </row>
    <row r="402" spans="1:1" x14ac:dyDescent="0.25">
      <c r="A402" s="2"/>
    </row>
    <row r="403" spans="1:1" x14ac:dyDescent="0.25">
      <c r="A403" s="2"/>
    </row>
    <row r="404" spans="1:1" x14ac:dyDescent="0.25">
      <c r="A404" s="2"/>
    </row>
    <row r="405" spans="1:1" x14ac:dyDescent="0.25">
      <c r="A405" s="2"/>
    </row>
    <row r="406" spans="1:1" x14ac:dyDescent="0.25">
      <c r="A406" s="2"/>
    </row>
    <row r="407" spans="1:1" x14ac:dyDescent="0.25">
      <c r="A407" s="2"/>
    </row>
    <row r="408" spans="1:1" x14ac:dyDescent="0.25">
      <c r="A408" s="2"/>
    </row>
    <row r="409" spans="1:1" x14ac:dyDescent="0.25">
      <c r="A409" s="2"/>
    </row>
    <row r="410" spans="1:1" x14ac:dyDescent="0.25">
      <c r="A410" s="2"/>
    </row>
    <row r="411" spans="1:1" x14ac:dyDescent="0.25">
      <c r="A411" s="2"/>
    </row>
    <row r="412" spans="1:1" x14ac:dyDescent="0.25">
      <c r="A412" s="2"/>
    </row>
    <row r="413" spans="1:1" x14ac:dyDescent="0.25">
      <c r="A413" s="2"/>
    </row>
    <row r="414" spans="1:1" x14ac:dyDescent="0.25">
      <c r="A414" s="2"/>
    </row>
    <row r="415" spans="1:1" x14ac:dyDescent="0.25">
      <c r="A415" s="2"/>
    </row>
    <row r="416" spans="1:1" x14ac:dyDescent="0.25">
      <c r="A416" s="2"/>
    </row>
    <row r="417" spans="1:1" x14ac:dyDescent="0.25">
      <c r="A417" s="2"/>
    </row>
    <row r="418" spans="1:1" x14ac:dyDescent="0.25">
      <c r="A418" s="2"/>
    </row>
    <row r="419" spans="1:1" x14ac:dyDescent="0.25">
      <c r="A419" s="2"/>
    </row>
    <row r="420" spans="1:1" x14ac:dyDescent="0.25">
      <c r="A420" s="2"/>
    </row>
    <row r="421" spans="1:1" x14ac:dyDescent="0.25">
      <c r="A421" s="2"/>
    </row>
    <row r="422" spans="1:1" x14ac:dyDescent="0.25">
      <c r="A422" s="2"/>
    </row>
    <row r="423" spans="1:1" x14ac:dyDescent="0.25">
      <c r="A423" s="2"/>
    </row>
    <row r="424" spans="1:1" x14ac:dyDescent="0.25">
      <c r="A424" s="2"/>
    </row>
    <row r="425" spans="1:1" x14ac:dyDescent="0.25">
      <c r="A425" s="2"/>
    </row>
    <row r="426" spans="1:1" x14ac:dyDescent="0.25">
      <c r="A426" s="2"/>
    </row>
    <row r="427" spans="1:1" x14ac:dyDescent="0.25">
      <c r="A427" s="2"/>
    </row>
    <row r="428" spans="1:1" x14ac:dyDescent="0.25">
      <c r="A428" s="2"/>
    </row>
    <row r="429" spans="1:1" x14ac:dyDescent="0.25">
      <c r="A429" s="2"/>
    </row>
    <row r="430" spans="1:1" x14ac:dyDescent="0.25">
      <c r="A430" s="2"/>
    </row>
    <row r="431" spans="1:1" x14ac:dyDescent="0.25">
      <c r="A431" s="2"/>
    </row>
    <row r="432" spans="1:1" x14ac:dyDescent="0.25">
      <c r="A432" s="2"/>
    </row>
    <row r="433" spans="1:1" x14ac:dyDescent="0.25">
      <c r="A433" s="2"/>
    </row>
    <row r="434" spans="1:1" x14ac:dyDescent="0.25">
      <c r="A434" s="2"/>
    </row>
    <row r="435" spans="1:1" x14ac:dyDescent="0.25">
      <c r="A435" s="2"/>
    </row>
    <row r="436" spans="1:1" x14ac:dyDescent="0.25">
      <c r="A436" s="2"/>
    </row>
    <row r="437" spans="1:1" x14ac:dyDescent="0.25">
      <c r="A437" s="2"/>
    </row>
    <row r="438" spans="1:1" x14ac:dyDescent="0.25">
      <c r="A438" s="2"/>
    </row>
    <row r="439" spans="1:1" x14ac:dyDescent="0.25">
      <c r="A439" s="2"/>
    </row>
    <row r="440" spans="1:1" x14ac:dyDescent="0.25">
      <c r="A440" s="2"/>
    </row>
    <row r="441" spans="1:1" x14ac:dyDescent="0.25">
      <c r="A441" s="2"/>
    </row>
    <row r="442" spans="1:1" x14ac:dyDescent="0.25">
      <c r="A442" s="2"/>
    </row>
    <row r="443" spans="1:1" x14ac:dyDescent="0.25">
      <c r="A443" s="2"/>
    </row>
    <row r="444" spans="1:1" x14ac:dyDescent="0.25">
      <c r="A444" s="2"/>
    </row>
    <row r="445" spans="1:1" x14ac:dyDescent="0.25">
      <c r="A445" s="2"/>
    </row>
    <row r="446" spans="1:1" x14ac:dyDescent="0.25">
      <c r="A446" s="2"/>
    </row>
    <row r="447" spans="1:1" x14ac:dyDescent="0.25">
      <c r="A447" s="2"/>
    </row>
    <row r="448" spans="1:1" x14ac:dyDescent="0.25">
      <c r="A448" s="2"/>
    </row>
    <row r="449" spans="1:1" x14ac:dyDescent="0.25">
      <c r="A449" s="2"/>
    </row>
    <row r="450" spans="1:1" x14ac:dyDescent="0.25">
      <c r="A450" s="2"/>
    </row>
    <row r="451" spans="1:1" x14ac:dyDescent="0.25">
      <c r="A451" s="2"/>
    </row>
    <row r="452" spans="1:1" x14ac:dyDescent="0.25">
      <c r="A452" s="2"/>
    </row>
    <row r="453" spans="1:1" x14ac:dyDescent="0.25">
      <c r="A453" s="2"/>
    </row>
    <row r="454" spans="1:1" x14ac:dyDescent="0.25">
      <c r="A454" s="2"/>
    </row>
    <row r="455" spans="1:1" x14ac:dyDescent="0.25">
      <c r="A455" s="2"/>
    </row>
    <row r="456" spans="1:1" x14ac:dyDescent="0.25">
      <c r="A456" s="2"/>
    </row>
    <row r="457" spans="1:1" x14ac:dyDescent="0.25">
      <c r="A457" s="2"/>
    </row>
    <row r="458" spans="1:1" x14ac:dyDescent="0.25">
      <c r="A458" s="2"/>
    </row>
    <row r="459" spans="1:1" x14ac:dyDescent="0.25">
      <c r="A459" s="2"/>
    </row>
    <row r="460" spans="1:1" x14ac:dyDescent="0.25">
      <c r="A460" s="2"/>
    </row>
    <row r="461" spans="1:1" x14ac:dyDescent="0.25">
      <c r="A461" s="2"/>
    </row>
    <row r="462" spans="1:1" x14ac:dyDescent="0.25">
      <c r="A462" s="2"/>
    </row>
    <row r="463" spans="1:1" x14ac:dyDescent="0.25">
      <c r="A463" s="2"/>
    </row>
    <row r="464" spans="1:1" x14ac:dyDescent="0.25">
      <c r="A464" s="2"/>
    </row>
    <row r="465" spans="1:1" x14ac:dyDescent="0.25">
      <c r="A465" s="2"/>
    </row>
    <row r="466" spans="1:1" x14ac:dyDescent="0.25">
      <c r="A466" s="2"/>
    </row>
    <row r="467" spans="1:1" x14ac:dyDescent="0.25">
      <c r="A467" s="2"/>
    </row>
    <row r="468" spans="1:1" x14ac:dyDescent="0.25">
      <c r="A468" s="2"/>
    </row>
    <row r="469" spans="1:1" x14ac:dyDescent="0.25">
      <c r="A469" s="2"/>
    </row>
    <row r="470" spans="1:1" x14ac:dyDescent="0.25">
      <c r="A470" s="2"/>
    </row>
    <row r="471" spans="1:1" x14ac:dyDescent="0.25">
      <c r="A471" s="2"/>
    </row>
    <row r="472" spans="1:1" x14ac:dyDescent="0.25">
      <c r="A472" s="2"/>
    </row>
    <row r="473" spans="1:1" x14ac:dyDescent="0.25">
      <c r="A473" s="2"/>
    </row>
    <row r="474" spans="1:1" x14ac:dyDescent="0.25">
      <c r="A474" s="2"/>
    </row>
    <row r="475" spans="1:1" x14ac:dyDescent="0.25">
      <c r="A475" s="2"/>
    </row>
    <row r="476" spans="1:1" x14ac:dyDescent="0.25">
      <c r="A476" s="2"/>
    </row>
    <row r="477" spans="1:1" x14ac:dyDescent="0.25">
      <c r="A477" s="2"/>
    </row>
    <row r="478" spans="1:1" x14ac:dyDescent="0.25">
      <c r="A478" s="2"/>
    </row>
    <row r="479" spans="1:1" x14ac:dyDescent="0.25">
      <c r="A479" s="2"/>
    </row>
    <row r="480" spans="1:1" x14ac:dyDescent="0.25">
      <c r="A480" s="2"/>
    </row>
    <row r="481" spans="1:1" x14ac:dyDescent="0.25">
      <c r="A481" s="2"/>
    </row>
    <row r="482" spans="1:1" x14ac:dyDescent="0.25">
      <c r="A482" s="2"/>
    </row>
    <row r="483" spans="1:1" x14ac:dyDescent="0.25">
      <c r="A483" s="2"/>
    </row>
    <row r="484" spans="1:1" x14ac:dyDescent="0.25">
      <c r="A484" s="2"/>
    </row>
    <row r="485" spans="1:1" x14ac:dyDescent="0.25">
      <c r="A485" s="2"/>
    </row>
    <row r="486" spans="1:1" x14ac:dyDescent="0.25">
      <c r="A486" s="2"/>
    </row>
    <row r="487" spans="1:1" x14ac:dyDescent="0.25">
      <c r="A487" s="2"/>
    </row>
    <row r="488" spans="1:1" x14ac:dyDescent="0.25">
      <c r="A488" s="2"/>
    </row>
    <row r="489" spans="1:1" x14ac:dyDescent="0.25">
      <c r="A489" s="2"/>
    </row>
    <row r="490" spans="1:1" x14ac:dyDescent="0.25">
      <c r="A490" s="2"/>
    </row>
    <row r="491" spans="1:1" x14ac:dyDescent="0.25">
      <c r="A491" s="2"/>
    </row>
    <row r="492" spans="1:1" x14ac:dyDescent="0.25">
      <c r="A492" s="2"/>
    </row>
    <row r="493" spans="1:1" x14ac:dyDescent="0.25">
      <c r="A493" s="2"/>
    </row>
    <row r="494" spans="1:1" x14ac:dyDescent="0.25">
      <c r="A494" s="2"/>
    </row>
    <row r="495" spans="1:1" x14ac:dyDescent="0.25">
      <c r="A495" s="2"/>
    </row>
    <row r="496" spans="1:1" x14ac:dyDescent="0.25">
      <c r="A496" s="2"/>
    </row>
    <row r="497" spans="1:1" x14ac:dyDescent="0.25">
      <c r="A497" s="2"/>
    </row>
    <row r="498" spans="1:1" x14ac:dyDescent="0.25">
      <c r="A498" s="2"/>
    </row>
    <row r="499" spans="1:1" x14ac:dyDescent="0.25">
      <c r="A499" s="2"/>
    </row>
    <row r="500" spans="1:1" x14ac:dyDescent="0.25">
      <c r="A500" s="2"/>
    </row>
    <row r="501" spans="1:1" x14ac:dyDescent="0.25">
      <c r="A501" s="2"/>
    </row>
    <row r="502" spans="1:1" x14ac:dyDescent="0.25">
      <c r="A502" s="2"/>
    </row>
    <row r="503" spans="1:1" x14ac:dyDescent="0.25">
      <c r="A503" s="2"/>
    </row>
    <row r="504" spans="1:1" x14ac:dyDescent="0.25">
      <c r="A504" s="2"/>
    </row>
    <row r="505" spans="1:1" x14ac:dyDescent="0.25">
      <c r="A505" s="2"/>
    </row>
    <row r="506" spans="1:1" x14ac:dyDescent="0.25">
      <c r="A506" s="2"/>
    </row>
    <row r="507" spans="1:1" x14ac:dyDescent="0.25">
      <c r="A507" s="2"/>
    </row>
    <row r="508" spans="1:1" x14ac:dyDescent="0.25">
      <c r="A508" s="2"/>
    </row>
    <row r="509" spans="1:1" x14ac:dyDescent="0.25">
      <c r="A509" s="2"/>
    </row>
    <row r="510" spans="1:1" x14ac:dyDescent="0.25">
      <c r="A510" s="2"/>
    </row>
    <row r="511" spans="1:1" x14ac:dyDescent="0.25">
      <c r="A511" s="2"/>
    </row>
    <row r="512" spans="1:1" x14ac:dyDescent="0.25">
      <c r="A512" s="2"/>
    </row>
    <row r="513" spans="1:1" x14ac:dyDescent="0.25">
      <c r="A513" s="2"/>
    </row>
    <row r="514" spans="1:1" x14ac:dyDescent="0.25">
      <c r="A514" s="2"/>
    </row>
    <row r="515" spans="1:1" x14ac:dyDescent="0.25">
      <c r="A515" s="2"/>
    </row>
    <row r="516" spans="1:1" x14ac:dyDescent="0.25">
      <c r="A516" s="2"/>
    </row>
    <row r="517" spans="1:1" x14ac:dyDescent="0.25">
      <c r="A517" s="2"/>
    </row>
    <row r="518" spans="1:1" x14ac:dyDescent="0.25">
      <c r="A518" s="2"/>
    </row>
    <row r="519" spans="1:1" x14ac:dyDescent="0.25">
      <c r="A519" s="2"/>
    </row>
    <row r="520" spans="1:1" x14ac:dyDescent="0.25">
      <c r="A520" s="2"/>
    </row>
    <row r="521" spans="1:1" x14ac:dyDescent="0.25">
      <c r="A521" s="2"/>
    </row>
    <row r="522" spans="1:1" x14ac:dyDescent="0.25">
      <c r="A522" s="2"/>
    </row>
    <row r="523" spans="1:1" x14ac:dyDescent="0.25">
      <c r="A523" s="2"/>
    </row>
    <row r="524" spans="1:1" x14ac:dyDescent="0.25">
      <c r="A524" s="2"/>
    </row>
    <row r="525" spans="1:1" x14ac:dyDescent="0.25">
      <c r="A525" s="2"/>
    </row>
    <row r="526" spans="1:1" x14ac:dyDescent="0.25">
      <c r="A526" s="2"/>
    </row>
    <row r="527" spans="1:1" x14ac:dyDescent="0.25">
      <c r="A527" s="2"/>
    </row>
    <row r="528" spans="1:1" x14ac:dyDescent="0.25">
      <c r="A528" s="2"/>
    </row>
    <row r="529" spans="1:1" x14ac:dyDescent="0.25">
      <c r="A529" s="2"/>
    </row>
    <row r="530" spans="1:1" x14ac:dyDescent="0.25">
      <c r="A530" s="2"/>
    </row>
    <row r="531" spans="1:1" x14ac:dyDescent="0.25">
      <c r="A531" s="2"/>
    </row>
    <row r="532" spans="1:1" x14ac:dyDescent="0.25">
      <c r="A532" s="2"/>
    </row>
    <row r="533" spans="1:1" x14ac:dyDescent="0.25">
      <c r="A533" s="2"/>
    </row>
    <row r="534" spans="1:1" x14ac:dyDescent="0.25">
      <c r="A534" s="2"/>
    </row>
    <row r="535" spans="1:1" x14ac:dyDescent="0.25">
      <c r="A535" s="2"/>
    </row>
    <row r="536" spans="1:1" x14ac:dyDescent="0.25">
      <c r="A536" s="2"/>
    </row>
    <row r="537" spans="1:1" x14ac:dyDescent="0.25">
      <c r="A537" s="2"/>
    </row>
    <row r="538" spans="1:1" x14ac:dyDescent="0.25">
      <c r="A538" s="2"/>
    </row>
    <row r="539" spans="1:1" x14ac:dyDescent="0.25">
      <c r="A539" s="2"/>
    </row>
    <row r="540" spans="1:1" x14ac:dyDescent="0.25">
      <c r="A540" s="2"/>
    </row>
    <row r="541" spans="1:1" x14ac:dyDescent="0.25">
      <c r="A541" s="2"/>
    </row>
    <row r="542" spans="1:1" x14ac:dyDescent="0.25">
      <c r="A542" s="2"/>
    </row>
    <row r="543" spans="1:1" x14ac:dyDescent="0.25">
      <c r="A543" s="2"/>
    </row>
    <row r="544" spans="1:1" x14ac:dyDescent="0.25">
      <c r="A544" s="2"/>
    </row>
    <row r="545" spans="1:1" x14ac:dyDescent="0.25">
      <c r="A545" s="2"/>
    </row>
    <row r="546" spans="1:1" x14ac:dyDescent="0.25">
      <c r="A546" s="2"/>
    </row>
    <row r="547" spans="1:1" x14ac:dyDescent="0.25">
      <c r="A547" s="2"/>
    </row>
    <row r="548" spans="1:1" x14ac:dyDescent="0.25">
      <c r="A548" s="2"/>
    </row>
    <row r="549" spans="1:1" x14ac:dyDescent="0.25">
      <c r="A549" s="2"/>
    </row>
    <row r="550" spans="1:1" x14ac:dyDescent="0.25">
      <c r="A550" s="2"/>
    </row>
    <row r="551" spans="1:1" x14ac:dyDescent="0.25">
      <c r="A551" s="2"/>
    </row>
    <row r="552" spans="1:1" x14ac:dyDescent="0.25">
      <c r="A552" s="2"/>
    </row>
    <row r="553" spans="1:1" x14ac:dyDescent="0.25">
      <c r="A553" s="2"/>
    </row>
    <row r="554" spans="1:1" x14ac:dyDescent="0.25">
      <c r="A554" s="2"/>
    </row>
    <row r="555" spans="1:1" x14ac:dyDescent="0.25">
      <c r="A555" s="2"/>
    </row>
    <row r="556" spans="1:1" x14ac:dyDescent="0.25">
      <c r="A556" s="2"/>
    </row>
    <row r="557" spans="1:1" x14ac:dyDescent="0.25">
      <c r="A557" s="2"/>
    </row>
    <row r="558" spans="1:1" x14ac:dyDescent="0.25">
      <c r="A558" s="2"/>
    </row>
    <row r="559" spans="1:1" x14ac:dyDescent="0.25">
      <c r="A559" s="2"/>
    </row>
    <row r="560" spans="1:1" x14ac:dyDescent="0.25">
      <c r="A560" s="2"/>
    </row>
    <row r="561" spans="1:1" x14ac:dyDescent="0.25">
      <c r="A561" s="2"/>
    </row>
    <row r="562" spans="1:1" x14ac:dyDescent="0.25">
      <c r="A562" s="2"/>
    </row>
    <row r="563" spans="1:1" x14ac:dyDescent="0.25">
      <c r="A563" s="2"/>
    </row>
    <row r="564" spans="1:1" x14ac:dyDescent="0.25">
      <c r="A564" s="2"/>
    </row>
    <row r="565" spans="1:1" x14ac:dyDescent="0.25">
      <c r="A565" s="2"/>
    </row>
    <row r="566" spans="1:1" x14ac:dyDescent="0.25">
      <c r="A566" s="2"/>
    </row>
    <row r="567" spans="1:1" x14ac:dyDescent="0.25">
      <c r="A567" s="2"/>
    </row>
    <row r="568" spans="1:1" x14ac:dyDescent="0.25">
      <c r="A568" s="2"/>
    </row>
    <row r="569" spans="1:1" x14ac:dyDescent="0.25">
      <c r="A569" s="2"/>
    </row>
    <row r="570" spans="1:1" x14ac:dyDescent="0.25">
      <c r="A570" s="2"/>
    </row>
    <row r="571" spans="1:1" x14ac:dyDescent="0.25">
      <c r="A571" s="2"/>
    </row>
    <row r="572" spans="1:1" x14ac:dyDescent="0.25">
      <c r="A572" s="2"/>
    </row>
    <row r="573" spans="1:1" x14ac:dyDescent="0.25">
      <c r="A573" s="2"/>
    </row>
    <row r="574" spans="1:1" x14ac:dyDescent="0.25">
      <c r="A574" s="2"/>
    </row>
    <row r="575" spans="1:1" x14ac:dyDescent="0.25">
      <c r="A575" s="2"/>
    </row>
    <row r="576" spans="1:1" x14ac:dyDescent="0.25">
      <c r="A576" s="2"/>
    </row>
    <row r="577" spans="1:1" x14ac:dyDescent="0.25">
      <c r="A577" s="2"/>
    </row>
    <row r="578" spans="1:1" x14ac:dyDescent="0.25">
      <c r="A578" s="2"/>
    </row>
    <row r="579" spans="1:1" x14ac:dyDescent="0.25">
      <c r="A579" s="2"/>
    </row>
    <row r="580" spans="1:1" x14ac:dyDescent="0.25">
      <c r="A580" s="2"/>
    </row>
    <row r="581" spans="1:1" x14ac:dyDescent="0.25">
      <c r="A581" s="2"/>
    </row>
    <row r="582" spans="1:1" x14ac:dyDescent="0.25">
      <c r="A582" s="2"/>
    </row>
    <row r="583" spans="1:1" x14ac:dyDescent="0.25">
      <c r="A583" s="2"/>
    </row>
    <row r="584" spans="1:1" x14ac:dyDescent="0.25">
      <c r="A584" s="2"/>
    </row>
    <row r="585" spans="1:1" x14ac:dyDescent="0.25">
      <c r="A585" s="2"/>
    </row>
    <row r="586" spans="1:1" x14ac:dyDescent="0.25">
      <c r="A586" s="2"/>
    </row>
    <row r="587" spans="1:1" x14ac:dyDescent="0.25">
      <c r="A587" s="2"/>
    </row>
    <row r="588" spans="1:1" x14ac:dyDescent="0.25">
      <c r="A588" s="2"/>
    </row>
    <row r="589" spans="1:1" x14ac:dyDescent="0.25">
      <c r="A589" s="2"/>
    </row>
    <row r="590" spans="1:1" x14ac:dyDescent="0.25">
      <c r="A590" s="2"/>
    </row>
    <row r="591" spans="1:1" x14ac:dyDescent="0.25">
      <c r="A591" s="2"/>
    </row>
    <row r="592" spans="1:1" x14ac:dyDescent="0.25">
      <c r="A592" s="2"/>
    </row>
    <row r="593" spans="1:1" x14ac:dyDescent="0.25">
      <c r="A593" s="2"/>
    </row>
    <row r="594" spans="1:1" x14ac:dyDescent="0.25">
      <c r="A594" s="2"/>
    </row>
    <row r="595" spans="1:1" x14ac:dyDescent="0.25">
      <c r="A595" s="2"/>
    </row>
    <row r="596" spans="1:1" x14ac:dyDescent="0.25">
      <c r="A596" s="2"/>
    </row>
    <row r="597" spans="1:1" x14ac:dyDescent="0.25">
      <c r="A597" s="2"/>
    </row>
    <row r="598" spans="1:1" x14ac:dyDescent="0.25">
      <c r="A598" s="2"/>
    </row>
    <row r="599" spans="1:1" x14ac:dyDescent="0.25">
      <c r="A599" s="2"/>
    </row>
    <row r="600" spans="1:1" x14ac:dyDescent="0.25">
      <c r="A600" s="2"/>
    </row>
    <row r="601" spans="1:1" x14ac:dyDescent="0.25">
      <c r="A601" s="2"/>
    </row>
    <row r="602" spans="1:1" x14ac:dyDescent="0.25">
      <c r="A602" s="2"/>
    </row>
    <row r="603" spans="1:1" x14ac:dyDescent="0.25">
      <c r="A603" s="2"/>
    </row>
    <row r="604" spans="1:1" x14ac:dyDescent="0.25">
      <c r="A604" s="2"/>
    </row>
    <row r="605" spans="1:1" x14ac:dyDescent="0.25">
      <c r="A605" s="2"/>
    </row>
    <row r="606" spans="1:1" x14ac:dyDescent="0.25">
      <c r="A606" s="2"/>
    </row>
    <row r="607" spans="1:1" x14ac:dyDescent="0.25">
      <c r="A607" s="2"/>
    </row>
    <row r="608" spans="1:1" x14ac:dyDescent="0.25">
      <c r="A608" s="2"/>
    </row>
    <row r="609" spans="1:1" x14ac:dyDescent="0.25">
      <c r="A609" s="2"/>
    </row>
    <row r="610" spans="1:1" x14ac:dyDescent="0.25">
      <c r="A610" s="2"/>
    </row>
    <row r="611" spans="1:1" x14ac:dyDescent="0.25">
      <c r="A611" s="2"/>
    </row>
    <row r="612" spans="1:1" x14ac:dyDescent="0.25">
      <c r="A612" s="2"/>
    </row>
    <row r="613" spans="1:1" x14ac:dyDescent="0.25">
      <c r="A613" s="2"/>
    </row>
    <row r="614" spans="1:1" x14ac:dyDescent="0.25">
      <c r="A614" s="2"/>
    </row>
    <row r="615" spans="1:1" x14ac:dyDescent="0.25">
      <c r="A615" s="2"/>
    </row>
    <row r="616" spans="1:1" x14ac:dyDescent="0.25">
      <c r="A616" s="2"/>
    </row>
    <row r="617" spans="1:1" x14ac:dyDescent="0.25">
      <c r="A617" s="2"/>
    </row>
    <row r="618" spans="1:1" x14ac:dyDescent="0.25">
      <c r="A618" s="2"/>
    </row>
    <row r="619" spans="1:1" x14ac:dyDescent="0.25">
      <c r="A619" s="2"/>
    </row>
    <row r="620" spans="1:1" x14ac:dyDescent="0.25">
      <c r="A620" s="2"/>
    </row>
    <row r="621" spans="1:1" x14ac:dyDescent="0.25">
      <c r="A621" s="2"/>
    </row>
    <row r="622" spans="1:1" x14ac:dyDescent="0.25">
      <c r="A622" s="2"/>
    </row>
    <row r="623" spans="1:1" x14ac:dyDescent="0.25">
      <c r="A623" s="2"/>
    </row>
    <row r="624" spans="1:1" x14ac:dyDescent="0.25">
      <c r="A624" s="2"/>
    </row>
    <row r="625" spans="1:1" x14ac:dyDescent="0.25">
      <c r="A625" s="2"/>
    </row>
    <row r="626" spans="1:1" x14ac:dyDescent="0.25">
      <c r="A626" s="2"/>
    </row>
    <row r="627" spans="1:1" x14ac:dyDescent="0.25">
      <c r="A627" s="2"/>
    </row>
    <row r="628" spans="1:1" x14ac:dyDescent="0.25">
      <c r="A628" s="2"/>
    </row>
    <row r="629" spans="1:1" x14ac:dyDescent="0.25">
      <c r="A629" s="2"/>
    </row>
    <row r="630" spans="1:1" x14ac:dyDescent="0.25">
      <c r="A630" s="2"/>
    </row>
  </sheetData>
  <sheetProtection formatCells="0" formatColumns="0" formatRows="0" insertColumns="0" insertRows="0" insertHyperlinks="0" deleteColumns="0" deleteRows="0" sort="0" autoFilter="0" pivotTables="0"/>
  <dataConsolidate/>
  <phoneticPr fontId="1" type="noConversion"/>
  <conditionalFormatting sqref="B1:B228">
    <cfRule type="cellIs" dxfId="3" priority="15" operator="equal">
      <formula>"INCOMPLETE"</formula>
    </cfRule>
  </conditionalFormatting>
  <dataValidations xWindow="317" yWindow="625" count="2">
    <dataValidation type="list" errorStyle="warning" allowBlank="1" showInputMessage="1" showErrorMessage="1" errorTitle="Developer" error="Development type not in list" promptTitle="Development" prompt="Select a development type" sqref="D40 D37 C1:C1048576" xr:uid="{48BB7F1A-100B-4F00-8E26-79213A709613}">
      <formula1>$C$2:$C$25</formula1>
    </dataValidation>
    <dataValidation type="list" errorStyle="warning" allowBlank="1" showInputMessage="1" showErrorMessage="1" errorTitle="Film Format" error="Format is not in drop down list" promptTitle="Film Formats" prompt="Please select a film format from the list" sqref="J1:J1048576" xr:uid="{5B3F447A-5DA4-4DAC-AD78-CA86F2F39F59}">
      <formula1>#REF!</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692F-951C-446F-BB0F-48EB8232AC0F}">
  <dimension ref="A1:F9"/>
  <sheetViews>
    <sheetView workbookViewId="0">
      <selection activeCell="A9" sqref="A9"/>
    </sheetView>
  </sheetViews>
  <sheetFormatPr defaultRowHeight="15" x14ac:dyDescent="0.25"/>
  <cols>
    <col min="1" max="1" width="23.28515625" customWidth="1"/>
    <col min="2" max="2" width="20" customWidth="1"/>
    <col min="3" max="3" width="18.5703125" customWidth="1"/>
    <col min="4" max="4" width="12.5703125" customWidth="1"/>
    <col min="5" max="5" width="17.28515625" customWidth="1"/>
  </cols>
  <sheetData>
    <row r="1" spans="1:6" ht="30" x14ac:dyDescent="0.25">
      <c r="A1" t="s">
        <v>20</v>
      </c>
      <c r="B1" s="1" t="s">
        <v>9</v>
      </c>
      <c r="C1" s="1" t="s">
        <v>10</v>
      </c>
      <c r="D1" s="1" t="s">
        <v>11</v>
      </c>
      <c r="E1" s="1" t="s">
        <v>13</v>
      </c>
      <c r="F1" s="1" t="s">
        <v>12</v>
      </c>
    </row>
    <row r="2" spans="1:6" x14ac:dyDescent="0.25">
      <c r="A2" t="s">
        <v>19</v>
      </c>
      <c r="B2">
        <v>2019</v>
      </c>
      <c r="C2">
        <v>2019</v>
      </c>
    </row>
    <row r="3" spans="1:6" x14ac:dyDescent="0.25">
      <c r="A3" t="s">
        <v>50</v>
      </c>
    </row>
    <row r="4" spans="1:6" x14ac:dyDescent="0.25">
      <c r="A4" t="s">
        <v>30</v>
      </c>
    </row>
    <row r="5" spans="1:6" x14ac:dyDescent="0.25">
      <c r="A5" t="s">
        <v>33</v>
      </c>
    </row>
    <row r="6" spans="1:6" x14ac:dyDescent="0.25">
      <c r="A6" t="s">
        <v>38</v>
      </c>
    </row>
    <row r="7" spans="1:6" x14ac:dyDescent="0.25">
      <c r="A7" t="s">
        <v>51</v>
      </c>
    </row>
    <row r="8" spans="1:6" x14ac:dyDescent="0.25">
      <c r="A8" t="s">
        <v>52</v>
      </c>
    </row>
    <row r="9" spans="1:6" x14ac:dyDescent="0.25">
      <c r="A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Film Rolls</vt:lpstr>
      <vt:lpstr>Cameras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Egyir Andoh</dc:creator>
  <cp:lastModifiedBy>Nana Egyir Andoh</cp:lastModifiedBy>
  <dcterms:created xsi:type="dcterms:W3CDTF">2022-12-27T01:28:01Z</dcterms:created>
  <dcterms:modified xsi:type="dcterms:W3CDTF">2025-04-17T04:04:56Z</dcterms:modified>
</cp:coreProperties>
</file>